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ing\Nigella\Resources\"/>
    </mc:Choice>
  </mc:AlternateContent>
  <xr:revisionPtr revIDLastSave="0" documentId="13_ncr:1_{B7F7537A-95FE-4AEE-9041-0E8E5CFD0098}" xr6:coauthVersionLast="47" xr6:coauthVersionMax="47" xr10:uidLastSave="{00000000-0000-0000-0000-000000000000}"/>
  <bookViews>
    <workbookView xWindow="-120" yWindow="-120" windowWidth="29040" windowHeight="15720" xr2:uid="{1780B3F2-89EC-48A1-A04C-A7E74E06A1A8}"/>
  </bookViews>
  <sheets>
    <sheet name="OPCODE_encoding" sheetId="1" r:id="rId1"/>
  </sheets>
  <definedNames>
    <definedName name="_xlnm.Print_Area" localSheetId="0">OPCODE_encoding!$A$3:$M$86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1" i="1" l="1"/>
  <c r="X80" i="1"/>
  <c r="X77" i="1"/>
  <c r="X76" i="1"/>
  <c r="X75" i="1"/>
  <c r="X74" i="1"/>
  <c r="X73" i="1"/>
  <c r="X72" i="1"/>
  <c r="X71" i="1"/>
  <c r="X70" i="1"/>
  <c r="X69" i="1"/>
  <c r="X68" i="1"/>
  <c r="X65" i="1"/>
  <c r="X64" i="1"/>
  <c r="X63" i="1"/>
  <c r="X62" i="1"/>
  <c r="X61" i="1"/>
  <c r="X60" i="1"/>
  <c r="X59" i="1"/>
  <c r="X58" i="1"/>
  <c r="X57" i="1"/>
  <c r="X56" i="1"/>
  <c r="X55" i="1"/>
  <c r="X52" i="1"/>
  <c r="X51" i="1"/>
  <c r="X50" i="1"/>
  <c r="X49" i="1"/>
  <c r="X48" i="1"/>
  <c r="X47" i="1"/>
  <c r="X46" i="1"/>
  <c r="X45" i="1"/>
  <c r="X42" i="1"/>
  <c r="X41" i="1"/>
  <c r="X40" i="1"/>
  <c r="X39" i="1"/>
  <c r="X38" i="1"/>
  <c r="X37" i="1"/>
  <c r="X36" i="1"/>
  <c r="X35" i="1"/>
  <c r="X34" i="1"/>
  <c r="X33" i="1"/>
  <c r="X32" i="1"/>
  <c r="X29" i="1"/>
  <c r="X28" i="1"/>
  <c r="X27" i="1"/>
  <c r="X26" i="1"/>
  <c r="X25" i="1"/>
  <c r="X24" i="1"/>
  <c r="X23" i="1"/>
  <c r="X22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2" i="1"/>
  <c r="W23" i="1"/>
  <c r="W24" i="1"/>
  <c r="W25" i="1"/>
  <c r="W26" i="1"/>
  <c r="W27" i="1"/>
  <c r="W28" i="1"/>
  <c r="W29" i="1"/>
  <c r="W32" i="1"/>
  <c r="W33" i="1"/>
  <c r="W34" i="1"/>
  <c r="W35" i="1"/>
  <c r="W36" i="1"/>
  <c r="W37" i="1"/>
  <c r="W38" i="1"/>
  <c r="W39" i="1"/>
  <c r="W40" i="1"/>
  <c r="W41" i="1"/>
  <c r="W42" i="1"/>
  <c r="W45" i="1"/>
  <c r="W46" i="1"/>
  <c r="W47" i="1"/>
  <c r="W48" i="1"/>
  <c r="W49" i="1"/>
  <c r="W50" i="1"/>
  <c r="W51" i="1"/>
  <c r="W52" i="1"/>
  <c r="W55" i="1"/>
  <c r="W56" i="1"/>
  <c r="W57" i="1"/>
  <c r="W58" i="1"/>
  <c r="W59" i="1"/>
  <c r="W60" i="1"/>
  <c r="W61" i="1"/>
  <c r="W62" i="1"/>
  <c r="W63" i="1"/>
  <c r="W64" i="1"/>
  <c r="W65" i="1"/>
  <c r="W68" i="1"/>
  <c r="W69" i="1"/>
  <c r="W70" i="1"/>
  <c r="W71" i="1"/>
  <c r="W72" i="1"/>
  <c r="W73" i="1"/>
  <c r="W74" i="1"/>
  <c r="W75" i="1"/>
  <c r="W76" i="1"/>
  <c r="W77" i="1"/>
  <c r="W80" i="1"/>
  <c r="W81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2" i="1"/>
  <c r="V23" i="1"/>
  <c r="V24" i="1"/>
  <c r="V25" i="1"/>
  <c r="V26" i="1"/>
  <c r="V27" i="1"/>
  <c r="V28" i="1"/>
  <c r="V29" i="1"/>
  <c r="V32" i="1"/>
  <c r="V33" i="1"/>
  <c r="V34" i="1"/>
  <c r="V35" i="1"/>
  <c r="V36" i="1"/>
  <c r="V37" i="1"/>
  <c r="V38" i="1"/>
  <c r="V39" i="1"/>
  <c r="V40" i="1"/>
  <c r="V41" i="1"/>
  <c r="V42" i="1"/>
  <c r="V45" i="1"/>
  <c r="V46" i="1"/>
  <c r="V47" i="1"/>
  <c r="V48" i="1"/>
  <c r="V49" i="1"/>
  <c r="V50" i="1"/>
  <c r="V51" i="1"/>
  <c r="V52" i="1"/>
  <c r="V55" i="1"/>
  <c r="V56" i="1"/>
  <c r="V57" i="1"/>
  <c r="V58" i="1"/>
  <c r="V59" i="1"/>
  <c r="V60" i="1"/>
  <c r="V61" i="1"/>
  <c r="V62" i="1"/>
  <c r="V63" i="1"/>
  <c r="V64" i="1"/>
  <c r="V65" i="1"/>
  <c r="V68" i="1"/>
  <c r="V69" i="1"/>
  <c r="V70" i="1"/>
  <c r="V71" i="1"/>
  <c r="V72" i="1"/>
  <c r="V73" i="1"/>
  <c r="V74" i="1"/>
  <c r="V75" i="1"/>
  <c r="V76" i="1"/>
  <c r="V77" i="1"/>
  <c r="V80" i="1"/>
  <c r="V81" i="1"/>
  <c r="V6" i="1"/>
  <c r="H91" i="1"/>
  <c r="J91" i="1" s="1"/>
  <c r="H90" i="1"/>
  <c r="J90" i="1" s="1"/>
  <c r="H89" i="1"/>
  <c r="J89" i="1" s="1"/>
  <c r="H86" i="1"/>
  <c r="H85" i="1"/>
  <c r="H84" i="1"/>
  <c r="AA81" i="1"/>
  <c r="H81" i="1"/>
  <c r="AA80" i="1"/>
  <c r="H80" i="1"/>
  <c r="AA77" i="1"/>
  <c r="AA76" i="1"/>
  <c r="AA75" i="1"/>
  <c r="AA74" i="1"/>
  <c r="AA73" i="1"/>
  <c r="AA71" i="1"/>
  <c r="AA70" i="1"/>
  <c r="AA69" i="1"/>
  <c r="AA68" i="1"/>
  <c r="AA65" i="1"/>
  <c r="AA64" i="1"/>
  <c r="AA63" i="1"/>
  <c r="AA62" i="1"/>
  <c r="AA61" i="1"/>
  <c r="AA60" i="1"/>
  <c r="AA59" i="1"/>
  <c r="AA58" i="1"/>
  <c r="AA57" i="1"/>
  <c r="AA56" i="1"/>
  <c r="AA55" i="1"/>
  <c r="AA52" i="1"/>
  <c r="AA51" i="1"/>
  <c r="AA50" i="1"/>
  <c r="AA49" i="1"/>
  <c r="AA48" i="1"/>
  <c r="AA47" i="1"/>
  <c r="AA46" i="1"/>
  <c r="AA45" i="1"/>
  <c r="AA42" i="1"/>
  <c r="AA41" i="1"/>
  <c r="AA40" i="1"/>
  <c r="AA39" i="1"/>
  <c r="AA38" i="1"/>
  <c r="AA37" i="1"/>
  <c r="AA36" i="1"/>
  <c r="AA35" i="1"/>
  <c r="AA34" i="1"/>
  <c r="AA33" i="1"/>
  <c r="AA32" i="1"/>
  <c r="AA29" i="1"/>
  <c r="AA28" i="1"/>
  <c r="AA27" i="1"/>
  <c r="AA26" i="1"/>
  <c r="AA25" i="1"/>
  <c r="AA24" i="1"/>
  <c r="AA23" i="1"/>
  <c r="AA22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F7" i="1"/>
  <c r="AA6" i="1"/>
  <c r="H6" i="1"/>
  <c r="H7" i="1" l="1"/>
  <c r="I7" i="1" s="1"/>
  <c r="F8" i="1"/>
  <c r="F9" i="1" s="1"/>
  <c r="J86" i="1"/>
  <c r="I86" i="1"/>
  <c r="J85" i="1"/>
  <c r="I85" i="1"/>
  <c r="J84" i="1"/>
  <c r="I84" i="1"/>
  <c r="Z81" i="1"/>
  <c r="J81" i="1"/>
  <c r="I81" i="1"/>
  <c r="Z80" i="1"/>
  <c r="J80" i="1"/>
  <c r="I80" i="1"/>
  <c r="H8" i="1"/>
  <c r="Z7" i="1"/>
  <c r="J7" i="1"/>
  <c r="Z6" i="1"/>
  <c r="J6" i="1"/>
  <c r="I6" i="1"/>
  <c r="I8" i="1" l="1"/>
  <c r="Z8" i="1"/>
  <c r="J8" i="1"/>
  <c r="F10" i="1"/>
  <c r="H9" i="1"/>
  <c r="F11" i="1" l="1"/>
  <c r="H10" i="1"/>
  <c r="Z9" i="1"/>
  <c r="J9" i="1"/>
  <c r="I9" i="1"/>
  <c r="F12" i="1" l="1"/>
  <c r="H11" i="1"/>
  <c r="Z10" i="1"/>
  <c r="I10" i="1"/>
  <c r="J10" i="1"/>
  <c r="H12" i="1" l="1"/>
  <c r="F13" i="1"/>
  <c r="Z11" i="1"/>
  <c r="J11" i="1"/>
  <c r="I11" i="1"/>
  <c r="I12" i="1" l="1"/>
  <c r="J12" i="1"/>
  <c r="Z12" i="1"/>
  <c r="H13" i="1"/>
  <c r="F14" i="1"/>
  <c r="I13" i="1" l="1"/>
  <c r="Z13" i="1"/>
  <c r="J13" i="1"/>
  <c r="H14" i="1"/>
  <c r="F15" i="1"/>
  <c r="I14" i="1" l="1"/>
  <c r="Z14" i="1"/>
  <c r="J14" i="1"/>
  <c r="H15" i="1"/>
  <c r="F16" i="1"/>
  <c r="I15" i="1" l="1"/>
  <c r="J15" i="1"/>
  <c r="Z15" i="1"/>
  <c r="H16" i="1"/>
  <c r="F17" i="1"/>
  <c r="I16" i="1" l="1"/>
  <c r="J16" i="1"/>
  <c r="Z16" i="1"/>
  <c r="H17" i="1"/>
  <c r="F18" i="1"/>
  <c r="I17" i="1" l="1"/>
  <c r="J17" i="1"/>
  <c r="Z17" i="1"/>
  <c r="H18" i="1"/>
  <c r="F19" i="1"/>
  <c r="I18" i="1" l="1"/>
  <c r="J18" i="1"/>
  <c r="Z18" i="1"/>
  <c r="H19" i="1"/>
  <c r="F22" i="1"/>
  <c r="I19" i="1" l="1"/>
  <c r="J19" i="1"/>
  <c r="Z19" i="1"/>
  <c r="H22" i="1"/>
  <c r="F23" i="1"/>
  <c r="I22" i="1" l="1"/>
  <c r="J22" i="1"/>
  <c r="Z22" i="1"/>
  <c r="H23" i="1"/>
  <c r="F24" i="1"/>
  <c r="I23" i="1" l="1"/>
  <c r="J23" i="1"/>
  <c r="Z23" i="1"/>
  <c r="H24" i="1"/>
  <c r="F25" i="1"/>
  <c r="I24" i="1" l="1"/>
  <c r="J24" i="1"/>
  <c r="Z24" i="1"/>
  <c r="H25" i="1"/>
  <c r="F26" i="1"/>
  <c r="J25" i="1" l="1"/>
  <c r="Z25" i="1"/>
  <c r="I25" i="1"/>
  <c r="H26" i="1"/>
  <c r="F27" i="1"/>
  <c r="I26" i="1" l="1"/>
  <c r="J26" i="1"/>
  <c r="Z26" i="1"/>
  <c r="H27" i="1"/>
  <c r="F28" i="1"/>
  <c r="I27" i="1" l="1"/>
  <c r="J27" i="1"/>
  <c r="Z27" i="1"/>
  <c r="H28" i="1"/>
  <c r="F29" i="1"/>
  <c r="I28" i="1" l="1"/>
  <c r="J28" i="1"/>
  <c r="Z28" i="1"/>
  <c r="H29" i="1"/>
  <c r="F32" i="1"/>
  <c r="I29" i="1" l="1"/>
  <c r="J29" i="1"/>
  <c r="Z29" i="1"/>
  <c r="H32" i="1"/>
  <c r="F33" i="1"/>
  <c r="I32" i="1" l="1"/>
  <c r="J32" i="1"/>
  <c r="Z32" i="1"/>
  <c r="H33" i="1"/>
  <c r="F34" i="1"/>
  <c r="I33" i="1" l="1"/>
  <c r="J33" i="1"/>
  <c r="Z33" i="1"/>
  <c r="H34" i="1"/>
  <c r="F35" i="1"/>
  <c r="I34" i="1" l="1"/>
  <c r="J34" i="1"/>
  <c r="Z34" i="1"/>
  <c r="H35" i="1"/>
  <c r="F36" i="1"/>
  <c r="I35" i="1" l="1"/>
  <c r="J35" i="1"/>
  <c r="Z35" i="1"/>
  <c r="H36" i="1"/>
  <c r="F37" i="1"/>
  <c r="I36" i="1" l="1"/>
  <c r="J36" i="1"/>
  <c r="Z36" i="1"/>
  <c r="H37" i="1"/>
  <c r="F38" i="1"/>
  <c r="I37" i="1" l="1"/>
  <c r="J37" i="1"/>
  <c r="Z37" i="1"/>
  <c r="H38" i="1"/>
  <c r="F39" i="1"/>
  <c r="I38" i="1" l="1"/>
  <c r="J38" i="1"/>
  <c r="Z38" i="1"/>
  <c r="H39" i="1"/>
  <c r="F40" i="1"/>
  <c r="I39" i="1" l="1"/>
  <c r="J39" i="1"/>
  <c r="Z39" i="1"/>
  <c r="H40" i="1"/>
  <c r="F41" i="1"/>
  <c r="I40" i="1" l="1"/>
  <c r="J40" i="1"/>
  <c r="Z40" i="1"/>
  <c r="H41" i="1"/>
  <c r="F42" i="1"/>
  <c r="I41" i="1" l="1"/>
  <c r="J41" i="1"/>
  <c r="Z41" i="1"/>
  <c r="H42" i="1"/>
  <c r="F45" i="1"/>
  <c r="I42" i="1" l="1"/>
  <c r="J42" i="1"/>
  <c r="Z42" i="1"/>
  <c r="H45" i="1"/>
  <c r="F46" i="1"/>
  <c r="I45" i="1" l="1"/>
  <c r="J45" i="1"/>
  <c r="Z45" i="1"/>
  <c r="H46" i="1"/>
  <c r="F47" i="1"/>
  <c r="I46" i="1" l="1"/>
  <c r="J46" i="1"/>
  <c r="Z46" i="1"/>
  <c r="H47" i="1"/>
  <c r="F48" i="1"/>
  <c r="I47" i="1" l="1"/>
  <c r="J47" i="1"/>
  <c r="Z47" i="1"/>
  <c r="H48" i="1"/>
  <c r="F49" i="1"/>
  <c r="I48" i="1" l="1"/>
  <c r="J48" i="1"/>
  <c r="Z48" i="1"/>
  <c r="H49" i="1"/>
  <c r="F50" i="1"/>
  <c r="I49" i="1" l="1"/>
  <c r="J49" i="1"/>
  <c r="Z49" i="1"/>
  <c r="H50" i="1"/>
  <c r="F51" i="1"/>
  <c r="I50" i="1" l="1"/>
  <c r="J50" i="1"/>
  <c r="Z50" i="1"/>
  <c r="H51" i="1"/>
  <c r="F52" i="1"/>
  <c r="I51" i="1" l="1"/>
  <c r="J51" i="1"/>
  <c r="Z51" i="1"/>
  <c r="H52" i="1"/>
  <c r="F55" i="1"/>
  <c r="I52" i="1" l="1"/>
  <c r="J52" i="1"/>
  <c r="Z52" i="1"/>
  <c r="H55" i="1"/>
  <c r="F56" i="1"/>
  <c r="I55" i="1" l="1"/>
  <c r="J55" i="1"/>
  <c r="Z55" i="1"/>
  <c r="H56" i="1"/>
  <c r="F57" i="1"/>
  <c r="I56" i="1" l="1"/>
  <c r="J56" i="1"/>
  <c r="Z56" i="1"/>
  <c r="H57" i="1"/>
  <c r="F58" i="1"/>
  <c r="I57" i="1" l="1"/>
  <c r="J57" i="1"/>
  <c r="Z57" i="1"/>
  <c r="H58" i="1"/>
  <c r="F59" i="1"/>
  <c r="I58" i="1" l="1"/>
  <c r="J58" i="1"/>
  <c r="Z58" i="1"/>
  <c r="H59" i="1"/>
  <c r="F60" i="1"/>
  <c r="I59" i="1" l="1"/>
  <c r="J59" i="1"/>
  <c r="Z59" i="1"/>
  <c r="H60" i="1"/>
  <c r="F61" i="1"/>
  <c r="I60" i="1" l="1"/>
  <c r="J60" i="1"/>
  <c r="Z60" i="1"/>
  <c r="H61" i="1"/>
  <c r="F62" i="1"/>
  <c r="I61" i="1" l="1"/>
  <c r="J61" i="1"/>
  <c r="Z61" i="1"/>
  <c r="H62" i="1"/>
  <c r="F63" i="1"/>
  <c r="I62" i="1" l="1"/>
  <c r="J62" i="1"/>
  <c r="Z62" i="1"/>
  <c r="H63" i="1"/>
  <c r="F64" i="1"/>
  <c r="I63" i="1" l="1"/>
  <c r="J63" i="1"/>
  <c r="Z63" i="1"/>
  <c r="H64" i="1"/>
  <c r="F65" i="1"/>
  <c r="I64" i="1" l="1"/>
  <c r="J64" i="1"/>
  <c r="Z64" i="1"/>
  <c r="H65" i="1"/>
  <c r="F68" i="1"/>
  <c r="I65" i="1" l="1"/>
  <c r="J65" i="1"/>
  <c r="Z65" i="1"/>
  <c r="H68" i="1"/>
  <c r="F69" i="1"/>
  <c r="I68" i="1" l="1"/>
  <c r="J68" i="1"/>
  <c r="Z68" i="1"/>
  <c r="H69" i="1"/>
  <c r="F70" i="1"/>
  <c r="I69" i="1" l="1"/>
  <c r="J69" i="1"/>
  <c r="Z69" i="1"/>
  <c r="H70" i="1"/>
  <c r="F71" i="1"/>
  <c r="I70" i="1" l="1"/>
  <c r="J70" i="1"/>
  <c r="Z70" i="1"/>
  <c r="H71" i="1"/>
  <c r="F72" i="1"/>
  <c r="I71" i="1" l="1"/>
  <c r="J71" i="1"/>
  <c r="Z71" i="1"/>
  <c r="H72" i="1"/>
  <c r="F73" i="1"/>
  <c r="I72" i="1" l="1"/>
  <c r="J72" i="1"/>
  <c r="Z72" i="1"/>
  <c r="H73" i="1"/>
  <c r="F74" i="1"/>
  <c r="I73" i="1" l="1"/>
  <c r="J73" i="1"/>
  <c r="Z73" i="1"/>
  <c r="H74" i="1"/>
  <c r="F75" i="1"/>
  <c r="I74" i="1" l="1"/>
  <c r="J74" i="1"/>
  <c r="Z74" i="1"/>
  <c r="H75" i="1"/>
  <c r="F76" i="1"/>
  <c r="I75" i="1" l="1"/>
  <c r="J75" i="1"/>
  <c r="Z75" i="1"/>
  <c r="H76" i="1"/>
  <c r="F77" i="1"/>
  <c r="H77" i="1" s="1"/>
  <c r="I76" i="1" l="1"/>
  <c r="J76" i="1"/>
  <c r="Z76" i="1"/>
  <c r="I77" i="1"/>
  <c r="J77" i="1"/>
  <c r="Z77" i="1"/>
</calcChain>
</file>

<file path=xl/sharedStrings.xml><?xml version="1.0" encoding="utf-8"?>
<sst xmlns="http://schemas.openxmlformats.org/spreadsheetml/2006/main" count="371" uniqueCount="209">
  <si>
    <t>N.I.G.E. Machine - instruction set encoding</t>
  </si>
  <si>
    <t>Instruction</t>
  </si>
  <si>
    <t>Encoding</t>
  </si>
  <si>
    <t>DEC</t>
  </si>
  <si>
    <t>BIN</t>
  </si>
  <si>
    <t>HEX</t>
  </si>
  <si>
    <t>Stack diagram</t>
  </si>
  <si>
    <t>Description</t>
  </si>
  <si>
    <t>Cycle count</t>
  </si>
  <si>
    <t>Multiplexer settings</t>
  </si>
  <si>
    <t>Development tools</t>
  </si>
  <si>
    <t>5-0</t>
  </si>
  <si>
    <t>Cross-assembler string</t>
  </si>
  <si>
    <t>Disassembler string</t>
  </si>
  <si>
    <t>Stack operations</t>
  </si>
  <si>
    <t>NOP</t>
  </si>
  <si>
    <t>--</t>
  </si>
  <si>
    <t>No operation</t>
  </si>
  <si>
    <t>DROP</t>
  </si>
  <si>
    <t>x --</t>
  </si>
  <si>
    <t>Discard the top data stack item and promote NOS to TOS</t>
  </si>
  <si>
    <t>DUP</t>
  </si>
  <si>
    <t>x -- x x</t>
  </si>
  <si>
    <t>DUPlicate the top stack item</t>
  </si>
  <si>
    <t>SWAP</t>
  </si>
  <si>
    <t>x1 x2 -- x2 x1</t>
  </si>
  <si>
    <t>Exchange the top two data stack items</t>
  </si>
  <si>
    <t>OVER</t>
  </si>
  <si>
    <t>x1 x2 -- x1 x2 x1</t>
  </si>
  <si>
    <t>Make a copy of the second item on the stack</t>
  </si>
  <si>
    <t>NIP</t>
  </si>
  <si>
    <t>x1 x2 -- x2</t>
  </si>
  <si>
    <t>Dispose of the second item on the data stack</t>
  </si>
  <si>
    <t>ROT</t>
  </si>
  <si>
    <t>n1 n2 n3 -- n2 n3 n1</t>
  </si>
  <si>
    <t xml:space="preserve">ROTate the top three stack items- current top of stack becomes the second </t>
  </si>
  <si>
    <t>&gt;R</t>
  </si>
  <si>
    <t>x -- ; R: -- x</t>
  </si>
  <si>
    <t>Push the current top item of the data stack onto the top of the return stack</t>
  </si>
  <si>
    <t>R@</t>
  </si>
  <si>
    <t>-- x ; R: x -- x</t>
  </si>
  <si>
    <t>Copy top item of the return stack to data stack.  Same as  'I'</t>
  </si>
  <si>
    <t>R&gt;</t>
  </si>
  <si>
    <t>-- x ; R: x --</t>
  </si>
  <si>
    <t>Pop the top item off the return stack and place on the data stack</t>
  </si>
  <si>
    <t>PSP@</t>
  </si>
  <si>
    <t>-- PSP</t>
  </si>
  <si>
    <t>Load parameter stack pointer on stack</t>
  </si>
  <si>
    <t>Catch</t>
  </si>
  <si>
    <t>RESETSP</t>
  </si>
  <si>
    <t>Reset all stack pointers to zero</t>
  </si>
  <si>
    <t>ZERO</t>
  </si>
  <si>
    <t>0| n -- | n</t>
  </si>
  <si>
    <t>Throw</t>
  </si>
  <si>
    <t>Math operations</t>
  </si>
  <si>
    <t>+</t>
  </si>
  <si>
    <t>n1|u1 n2|u2 -- n3|u3</t>
  </si>
  <si>
    <t>Add two single precision integer numbers: n3=n1+n2</t>
  </si>
  <si>
    <t>-</t>
  </si>
  <si>
    <t>Subtract two single precision integer numbers: n3=n1-n2</t>
  </si>
  <si>
    <t>NEGATE</t>
  </si>
  <si>
    <t>n1 -- n2</t>
  </si>
  <si>
    <t>Negate a single precision integer number</t>
  </si>
  <si>
    <t>1+</t>
  </si>
  <si>
    <t>n -- n</t>
  </si>
  <si>
    <t>Add one</t>
  </si>
  <si>
    <t>1-</t>
  </si>
  <si>
    <t>Subtract one</t>
  </si>
  <si>
    <t>2/</t>
  </si>
  <si>
    <t>Arithmetic shift right</t>
  </si>
  <si>
    <t>ADDX</t>
  </si>
  <si>
    <t>Addition with extend flag as carry</t>
  </si>
  <si>
    <t>SUBX</t>
  </si>
  <si>
    <t>Subtraction with extend flag as borrow</t>
  </si>
  <si>
    <t>Comparisons</t>
  </si>
  <si>
    <t>=</t>
  </si>
  <si>
    <t>n1 n2 -- flag</t>
  </si>
  <si>
    <t>Returns true if n1=n2</t>
  </si>
  <si>
    <t>&lt;&gt;</t>
  </si>
  <si>
    <t>Returns true if n1 is not equal to n2</t>
  </si>
  <si>
    <t>&lt;</t>
  </si>
  <si>
    <t>Returns true if n1&lt;n2</t>
  </si>
  <si>
    <t>&gt;</t>
  </si>
  <si>
    <t>Returns true if n1&gt;n2</t>
  </si>
  <si>
    <t>U&lt;</t>
  </si>
  <si>
    <t>u1 u2 -- flag</t>
  </si>
  <si>
    <t>Unsigned, returns true if u1&lt;u2</t>
  </si>
  <si>
    <t>U&gt;</t>
  </si>
  <si>
    <t>Unsigned, returns true if u1&gt;u2</t>
  </si>
  <si>
    <t>0=</t>
  </si>
  <si>
    <t>x1 -- flag</t>
  </si>
  <si>
    <t>Returns true if x1=0</t>
  </si>
  <si>
    <t>0&lt;&gt;</t>
  </si>
  <si>
    <t>Returns true if x1 is not equal to 0</t>
  </si>
  <si>
    <t>0&lt;</t>
  </si>
  <si>
    <t>Returns true if x is &lt;0</t>
  </si>
  <si>
    <t>0&gt;</t>
  </si>
  <si>
    <t>Returns true if x is &gt;0</t>
  </si>
  <si>
    <t>-- 0</t>
  </si>
  <si>
    <t>Returns 0</t>
  </si>
  <si>
    <t>Bitwise logic</t>
  </si>
  <si>
    <t>AND</t>
  </si>
  <si>
    <t>n1 n2 -- n3</t>
  </si>
  <si>
    <t>Returns n3 = n1 AND n2</t>
  </si>
  <si>
    <t>OR</t>
  </si>
  <si>
    <t>Returns n3 = n1 OR n2</t>
  </si>
  <si>
    <t>INVERT</t>
  </si>
  <si>
    <t>Returns bitwise inverse of n1</t>
  </si>
  <si>
    <t>XOR</t>
  </si>
  <si>
    <t>Returns n3 = n1 XOR n2</t>
  </si>
  <si>
    <t>LSL</t>
  </si>
  <si>
    <t>x1 -- x2</t>
  </si>
  <si>
    <t>Logical shift left 1 bit</t>
  </si>
  <si>
    <t>LSR</t>
  </si>
  <si>
    <t>Logical shift right 1 bit</t>
  </si>
  <si>
    <t>XBYTE</t>
  </si>
  <si>
    <t>Sign extend BYTE to LONG</t>
  </si>
  <si>
    <t>XWORD</t>
  </si>
  <si>
    <t>Sign extend WORD to LONG</t>
  </si>
  <si>
    <t>Specific state multicycle</t>
  </si>
  <si>
    <t>MULTS</t>
  </si>
  <si>
    <t>n1 n2 -- d3</t>
  </si>
  <si>
    <t>A signed multiply that produces a signed double result</t>
  </si>
  <si>
    <t>MULTU</t>
  </si>
  <si>
    <t>u1 u2 -- ud3</t>
  </si>
  <si>
    <t>An unsigned multiply that produces an unsigned double result</t>
  </si>
  <si>
    <t>DIVS</t>
  </si>
  <si>
    <t>n1 n2 -- u-rem n-quot</t>
  </si>
  <si>
    <t>Signed quotied and remainder</t>
  </si>
  <si>
    <t>DIVU</t>
  </si>
  <si>
    <t>u1 u2 -- u-rem u-quot</t>
  </si>
  <si>
    <t>Unsigned quotient and remainder</t>
  </si>
  <si>
    <t>FETCH.L</t>
  </si>
  <si>
    <t>addr -- n</t>
  </si>
  <si>
    <t>Fetch and return the cell at memory address addr</t>
  </si>
  <si>
    <t>STORE.L</t>
  </si>
  <si>
    <t>n addr --</t>
  </si>
  <si>
    <t>Store the cell quantity n at memory address addr</t>
  </si>
  <si>
    <t>FETCH.W</t>
  </si>
  <si>
    <t>addr -- val</t>
  </si>
  <si>
    <t>Fetch and zero extend the 16 bit item at memory address addr</t>
  </si>
  <si>
    <t>STORE.W</t>
  </si>
  <si>
    <t>val addr --</t>
  </si>
  <si>
    <t>Store the 16 bit item val at memory address addr</t>
  </si>
  <si>
    <t>FETCH.B</t>
  </si>
  <si>
    <t>addr -- char</t>
  </si>
  <si>
    <t>Fetch and zero extend the character at memory address addr</t>
  </si>
  <si>
    <t>STORE.B</t>
  </si>
  <si>
    <t>char addr --</t>
  </si>
  <si>
    <t>Store the character char at memory address addr</t>
  </si>
  <si>
    <t>x -- 0 | x x</t>
  </si>
  <si>
    <t>DUPlicate the top stack item only if it is non-zero</t>
  </si>
  <si>
    <t>General state multicycle</t>
  </si>
  <si>
    <t>#.B</t>
  </si>
  <si>
    <t>-- n</t>
  </si>
  <si>
    <t>Fetch inline literal signed byte to stack and zero extend</t>
  </si>
  <si>
    <t>#.W</t>
  </si>
  <si>
    <t>Fetch inline literal signed word to stack and zero extend</t>
  </si>
  <si>
    <t>#.L</t>
  </si>
  <si>
    <t>-- x</t>
  </si>
  <si>
    <t>Fetch inline literal long to stack</t>
  </si>
  <si>
    <t>JMP</t>
  </si>
  <si>
    <t>n --</t>
  </si>
  <si>
    <t>Jump to address on stack</t>
  </si>
  <si>
    <t>JSL</t>
  </si>
  <si>
    <t>-- ; R: -- ret</t>
  </si>
  <si>
    <t>Jump to subroutine at literal address.  Push return address to return stack</t>
  </si>
  <si>
    <t>," JSL"</t>
  </si>
  <si>
    <t>JSR</t>
  </si>
  <si>
    <t>n -- ; R: -- ret</t>
  </si>
  <si>
    <t>Jump to subroutine address on stack.  Push return address to return stack</t>
  </si>
  <si>
    <t>Branch to trap vector (debugging use)</t>
  </si>
  <si>
    <t>Executes one RTS, one main instruction, then trap</t>
  </si>
  <si>
    <t>Return from interrupt - until RTI futher interrupts are blocked</t>
  </si>
  <si>
    <t>PAUSE</t>
  </si>
  <si>
    <t>Context switch to next task</t>
  </si>
  <si>
    <t>Unused</t>
  </si>
  <si>
    <t>UNUSED</t>
  </si>
  <si>
    <t>Internal microcode</t>
  </si>
  <si>
    <t>Second cycle of THROW</t>
  </si>
  <si>
    <t>Replace DATA register onto stack</t>
  </si>
  <si>
    <t>Branch control</t>
  </si>
  <si>
    <t>RTS</t>
  </si>
  <si>
    <t>-- ; R: ret  --</t>
  </si>
  <si>
    <t>Exit to return address on return stack</t>
  </si>
  <si>
    <t>BEQ</t>
  </si>
  <si>
    <t>Branch to inline signed offset address if TOS = 0</t>
  </si>
  <si>
    <t>BRA</t>
  </si>
  <si>
    <t>Branch to inline signed offset address</t>
  </si>
  <si>
    <t>instruction_type</t>
  </si>
  <si>
    <t>pf_nxt_1</t>
  </si>
  <si>
    <t>pf_nxt_2</t>
  </si>
  <si>
    <t>pf_nxt_3</t>
  </si>
  <si>
    <t>pf_nxt_5</t>
  </si>
  <si>
    <t>pf_jmp</t>
  </si>
  <si>
    <t>pf_jsl</t>
  </si>
  <si>
    <t>pf_jsr</t>
  </si>
  <si>
    <t>ps_slp</t>
  </si>
  <si>
    <t>VHDL tools</t>
  </si>
  <si>
    <t>ROM</t>
  </si>
  <si>
    <t>others =&gt; pf_nxt_1</t>
  </si>
  <si>
    <t>instruction_duration</t>
  </si>
  <si>
    <t>r_stack_op</t>
  </si>
  <si>
    <t>op_nop</t>
  </si>
  <si>
    <t>pf_rts</t>
  </si>
  <si>
    <t>pf_beq</t>
  </si>
  <si>
    <t>pf_bra</t>
  </si>
  <si>
    <t>op_pop</t>
  </si>
  <si>
    <t>op_psh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</si>
</sst>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onsolas"/>
      <family val="3"/>
    </font>
    <font>
      <sz val="8"/>
      <color theme="1"/>
      <name val="Courier New"/>
      <family val="3"/>
    </font>
    <font>
      <b/>
      <sz val="8"/>
      <color theme="1"/>
      <name val="Consolas"/>
      <family val="3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onsolas"/>
      <family val="3"/>
    </font>
    <font>
      <sz val="8"/>
      <color theme="4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0070C0"/>
      <name val="Consolas"/>
      <family val="3"/>
    </font>
    <font>
      <sz val="8"/>
      <color theme="9"/>
      <name val="Calibri"/>
      <family val="2"/>
      <scheme val="minor"/>
    </font>
    <font>
      <b/>
      <sz val="8"/>
      <color theme="9"/>
      <name val="Calibri"/>
      <family val="2"/>
      <scheme val="minor"/>
    </font>
    <font>
      <sz val="8"/>
      <color theme="9"/>
      <name val="Consolas"/>
      <family val="3"/>
    </font>
    <font>
      <sz val="8"/>
      <color rgb="FF00B05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rgb="FF00B050"/>
      <name val="Consolas"/>
      <family val="3"/>
    </font>
    <font>
      <sz val="8"/>
      <color theme="5"/>
      <name val="Calibri"/>
      <family val="2"/>
      <scheme val="minor"/>
    </font>
    <font>
      <b/>
      <sz val="8"/>
      <color theme="5"/>
      <name val="Calibri"/>
      <family val="2"/>
      <scheme val="minor"/>
    </font>
    <font>
      <sz val="8"/>
      <color theme="9"/>
      <name val="Courier New"/>
      <family val="3"/>
    </font>
    <font>
      <sz val="8"/>
      <color theme="5"/>
      <name val="Consolas"/>
      <family val="3"/>
    </font>
    <font>
      <sz val="8"/>
      <color theme="5"/>
      <name val="Courier New"/>
      <family val="3"/>
    </font>
    <font>
      <sz val="8"/>
      <color theme="9" tint="-0.249977111117893"/>
      <name val="Calibri"/>
      <family val="2"/>
      <scheme val="minor"/>
    </font>
    <font>
      <b/>
      <sz val="8"/>
      <color theme="9" tint="-0.249977111117893"/>
      <name val="Calibri"/>
      <family val="2"/>
      <scheme val="minor"/>
    </font>
    <font>
      <sz val="8"/>
      <color theme="9" tint="-0.249977111117893"/>
      <name val="Consolas"/>
      <family val="3"/>
    </font>
    <font>
      <sz val="8"/>
      <color theme="9" tint="-0.249977111117893"/>
      <name val="Courier New"/>
      <family val="3"/>
    </font>
    <font>
      <sz val="8"/>
      <color theme="4"/>
      <name val="Consolas"/>
      <family val="3"/>
    </font>
    <font>
      <sz val="8"/>
      <color theme="6" tint="-0.249977111117893"/>
      <name val="Calibri"/>
      <family val="2"/>
      <scheme val="minor"/>
    </font>
    <font>
      <sz val="8"/>
      <color theme="3" tint="0.39997558519241921"/>
      <name val="Calibri"/>
      <family val="2"/>
      <scheme val="minor"/>
    </font>
    <font>
      <b/>
      <sz val="8"/>
      <color theme="6" tint="-0.249977111117893"/>
      <name val="Calibri"/>
      <family val="2"/>
      <scheme val="minor"/>
    </font>
    <font>
      <sz val="8"/>
      <color theme="6" tint="-0.249977111117893"/>
      <name val="Consolas"/>
      <family val="3"/>
    </font>
    <font>
      <sz val="8"/>
      <color theme="6" tint="-0.249977111117893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left"/>
    </xf>
    <xf numFmtId="0" fontId="4" fillId="0" borderId="0" xfId="0" quotePrefix="1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2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/>
    <xf numFmtId="0" fontId="11" fillId="0" borderId="0" xfId="0" quotePrefix="1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quotePrefix="1" applyFont="1" applyAlignment="1">
      <alignment horizontal="left"/>
    </xf>
    <xf numFmtId="0" fontId="14" fillId="0" borderId="0" xfId="0" applyFont="1" applyAlignment="1">
      <alignment horizontal="left"/>
    </xf>
    <xf numFmtId="0" fontId="16" fillId="0" borderId="0" xfId="0" applyFont="1"/>
    <xf numFmtId="0" fontId="17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0" borderId="0" xfId="0" quotePrefix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quotePrefix="1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0" fillId="0" borderId="0" xfId="0" applyFont="1" applyAlignment="1">
      <alignment horizontal="left"/>
    </xf>
    <xf numFmtId="0" fontId="23" fillId="0" borderId="0" xfId="0" quotePrefix="1" applyFont="1" applyAlignment="1">
      <alignment horizontal="left"/>
    </xf>
    <xf numFmtId="0" fontId="20" fillId="0" borderId="0" xfId="0" applyFont="1"/>
    <xf numFmtId="0" fontId="24" fillId="0" borderId="0" xfId="0" applyFont="1"/>
    <xf numFmtId="0" fontId="23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8" fillId="0" borderId="0" xfId="0" applyFont="1"/>
    <xf numFmtId="0" fontId="27" fillId="0" borderId="0" xfId="0" quotePrefix="1" applyFont="1" applyAlignment="1">
      <alignment horizontal="left"/>
    </xf>
    <xf numFmtId="0" fontId="27" fillId="0" borderId="0" xfId="0" applyFont="1"/>
    <xf numFmtId="0" fontId="10" fillId="0" borderId="0" xfId="0" applyFont="1"/>
    <xf numFmtId="0" fontId="29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4" fillId="0" borderId="0" xfId="0" applyFont="1"/>
    <xf numFmtId="0" fontId="1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P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F4FA-C9E8-4129-8838-3F6293EE623C}">
  <sheetPr>
    <pageSetUpPr fitToPage="1"/>
  </sheetPr>
  <dimension ref="A1:AA98"/>
  <sheetViews>
    <sheetView tabSelected="1" workbookViewId="0">
      <pane xSplit="10" ySplit="4" topLeftCell="L53" activePane="bottomRight" state="frozen"/>
      <selection pane="topRight" activeCell="J1" sqref="J1"/>
      <selection pane="bottomLeft" activeCell="A3" sqref="A3"/>
      <selection pane="bottomRight" activeCell="X72" sqref="X72:X73"/>
    </sheetView>
  </sheetViews>
  <sheetFormatPr defaultRowHeight="11.25" x14ac:dyDescent="0.2"/>
  <cols>
    <col min="1" max="1" width="1.7109375" style="2" customWidth="1"/>
    <col min="2" max="2" width="11" style="3" customWidth="1"/>
    <col min="3" max="3" width="1.7109375" style="3" customWidth="1"/>
    <col min="4" max="6" width="5.5703125" style="3" customWidth="1"/>
    <col min="7" max="7" width="1.28515625" style="3" customWidth="1"/>
    <col min="8" max="8" width="5.5703125" style="4" customWidth="1"/>
    <col min="9" max="9" width="9.5703125" style="4" customWidth="1"/>
    <col min="10" max="10" width="6.5703125" style="3" customWidth="1"/>
    <col min="11" max="11" width="2" style="3" customWidth="1"/>
    <col min="12" max="12" width="19.28515625" style="5" customWidth="1"/>
    <col min="13" max="13" width="51" style="2" customWidth="1"/>
    <col min="14" max="14" width="9.5703125" style="2" customWidth="1"/>
    <col min="15" max="15" width="2.7109375" style="6" customWidth="1"/>
    <col min="16" max="16" width="14.5703125" style="6" bestFit="1" customWidth="1"/>
    <col min="17" max="17" width="18.7109375" style="6" customWidth="1"/>
    <col min="18" max="18" width="9.140625" style="2" customWidth="1"/>
    <col min="19" max="20" width="9.140625" style="2"/>
    <col min="21" max="21" width="3" style="2" customWidth="1"/>
    <col min="22" max="22" width="13.5703125" style="2" customWidth="1"/>
    <col min="23" max="23" width="8" style="2" bestFit="1" customWidth="1"/>
    <col min="24" max="24" width="11" style="2" customWidth="1"/>
    <col min="25" max="25" width="3.5703125" style="2" customWidth="1"/>
    <col min="26" max="26" width="28.85546875" style="7" customWidth="1"/>
    <col min="27" max="27" width="17.7109375" style="2" customWidth="1"/>
    <col min="28" max="16384" width="9.140625" style="2"/>
  </cols>
  <sheetData>
    <row r="1" spans="1:27" ht="15" x14ac:dyDescent="0.25">
      <c r="A1" s="1" t="s">
        <v>0</v>
      </c>
      <c r="B1" s="2"/>
    </row>
    <row r="2" spans="1:27" ht="5.25" customHeight="1" x14ac:dyDescent="0.2"/>
    <row r="3" spans="1:27" s="8" customFormat="1" x14ac:dyDescent="0.2">
      <c r="B3" s="4" t="s">
        <v>1</v>
      </c>
      <c r="C3" s="4"/>
      <c r="D3" s="9" t="s">
        <v>2</v>
      </c>
      <c r="H3" s="4" t="s">
        <v>3</v>
      </c>
      <c r="I3" s="4" t="s">
        <v>4</v>
      </c>
      <c r="J3" s="4" t="s">
        <v>5</v>
      </c>
      <c r="K3" s="4"/>
      <c r="L3" s="10" t="s">
        <v>6</v>
      </c>
      <c r="M3" s="8" t="s">
        <v>7</v>
      </c>
      <c r="N3" s="8" t="s">
        <v>8</v>
      </c>
      <c r="O3" s="9"/>
      <c r="P3" s="11" t="s">
        <v>9</v>
      </c>
      <c r="Q3" s="11"/>
      <c r="R3" s="11"/>
      <c r="S3" s="11"/>
      <c r="T3" s="11"/>
      <c r="V3" s="11" t="s">
        <v>198</v>
      </c>
      <c r="W3" s="11"/>
      <c r="X3" s="11"/>
      <c r="Z3" s="12" t="s">
        <v>10</v>
      </c>
      <c r="AA3" s="11"/>
    </row>
    <row r="4" spans="1:27" x14ac:dyDescent="0.2">
      <c r="D4" s="4">
        <v>7</v>
      </c>
      <c r="E4" s="4">
        <v>6</v>
      </c>
      <c r="F4" s="4" t="s">
        <v>11</v>
      </c>
      <c r="G4" s="4"/>
      <c r="J4" s="4"/>
      <c r="K4" s="4"/>
      <c r="P4" s="4" t="s">
        <v>189</v>
      </c>
      <c r="Q4" s="4" t="s">
        <v>201</v>
      </c>
      <c r="R4" s="4" t="s">
        <v>202</v>
      </c>
      <c r="S4" s="4"/>
      <c r="T4" s="4"/>
      <c r="V4" s="2" t="s">
        <v>199</v>
      </c>
      <c r="W4" s="2" t="s">
        <v>199</v>
      </c>
      <c r="Z4" s="9" t="s">
        <v>12</v>
      </c>
      <c r="AA4" s="9" t="s">
        <v>13</v>
      </c>
    </row>
    <row r="5" spans="1:27" x14ac:dyDescent="0.2">
      <c r="A5" s="2" t="s">
        <v>14</v>
      </c>
    </row>
    <row r="6" spans="1:27" x14ac:dyDescent="0.2">
      <c r="B6" s="3" t="s">
        <v>15</v>
      </c>
      <c r="D6" s="3">
        <v>0</v>
      </c>
      <c r="E6" s="3">
        <v>0</v>
      </c>
      <c r="F6" s="3">
        <v>0</v>
      </c>
      <c r="H6" s="4">
        <f>F6+E6*64+D6*128</f>
        <v>0</v>
      </c>
      <c r="I6" s="3" t="str">
        <f>DEC2BIN(H6,7)</f>
        <v>0000000</v>
      </c>
      <c r="J6" s="3" t="str">
        <f>DEC2HEX(H6)</f>
        <v>0</v>
      </c>
      <c r="L6" s="13" t="s">
        <v>16</v>
      </c>
      <c r="M6" s="2" t="s">
        <v>17</v>
      </c>
      <c r="N6" s="3">
        <v>1</v>
      </c>
      <c r="P6" s="3" t="s">
        <v>190</v>
      </c>
      <c r="Q6" s="3">
        <v>0</v>
      </c>
      <c r="R6" s="14" t="s">
        <v>203</v>
      </c>
      <c r="S6" s="14"/>
      <c r="T6" s="14"/>
      <c r="V6" s="2" t="str">
        <f>_xlfn.CONCAT(H6, " =&gt; ", P6, ", ")</f>
        <v xml:space="preserve">0 =&gt; pf_nxt_1, </v>
      </c>
      <c r="W6" s="2" t="str">
        <f>_xlfn.CONCAT($H6, " =&gt; ", Q6, ", ")</f>
        <v xml:space="preserve">0 =&gt; 0, </v>
      </c>
      <c r="X6" s="2" t="str">
        <f>_xlfn.CONCAT($H6, " =&gt; ", R6, ", ")</f>
        <v xml:space="preserve">0 =&gt; op_nop, </v>
      </c>
      <c r="Z6" s="16" t="str">
        <f t="shared" ref="Z6:Z19" si="0">"1 "&amp;H6&amp;" INSTRUCTION _"&amp;B6</f>
        <v>1 0 INSTRUCTION _NOP</v>
      </c>
      <c r="AA6" s="16" t="str">
        <f t="shared" ref="AA6:AA19" si="1">CHAR(44)&amp;CHAR(34)&amp;CHAR(32)&amp;B6&amp;CHAR(34)</f>
        <v>," NOP"</v>
      </c>
    </row>
    <row r="7" spans="1:27" x14ac:dyDescent="0.2">
      <c r="B7" s="3" t="s">
        <v>18</v>
      </c>
      <c r="D7" s="3">
        <v>0</v>
      </c>
      <c r="E7" s="3">
        <v>0</v>
      </c>
      <c r="F7" s="3">
        <f>F6+1</f>
        <v>1</v>
      </c>
      <c r="H7" s="4">
        <f t="shared" ref="H7:H19" si="2">F7+E7*64+D7*128</f>
        <v>1</v>
      </c>
      <c r="I7" s="3" t="str">
        <f t="shared" ref="I7:I19" si="3">DEC2BIN(H7,7)</f>
        <v>0000001</v>
      </c>
      <c r="J7" s="3" t="str">
        <f t="shared" ref="J7:J19" si="4">DEC2HEX(H7)</f>
        <v>1</v>
      </c>
      <c r="L7" s="5" t="s">
        <v>19</v>
      </c>
      <c r="M7" s="2" t="s">
        <v>20</v>
      </c>
      <c r="N7" s="3">
        <v>1</v>
      </c>
      <c r="P7" s="3" t="s">
        <v>190</v>
      </c>
      <c r="Q7" s="3">
        <v>0</v>
      </c>
      <c r="R7" s="14" t="s">
        <v>203</v>
      </c>
      <c r="S7" s="14"/>
      <c r="T7" s="14"/>
      <c r="V7" s="2" t="str">
        <f t="shared" ref="V7:V70" si="5">_xlfn.CONCAT(H7, " =&gt; ", P7, ", ")</f>
        <v xml:space="preserve">1 =&gt; pf_nxt_1, </v>
      </c>
      <c r="W7" s="2" t="str">
        <f t="shared" ref="W7:W70" si="6">_xlfn.CONCAT(H7, " =&gt; ", Q7, ", ")</f>
        <v xml:space="preserve">1 =&gt; 0, </v>
      </c>
      <c r="X7" s="2" t="str">
        <f t="shared" ref="X7:X19" si="7">_xlfn.CONCAT($H7, " =&gt; ", R7, ", ")</f>
        <v xml:space="preserve">1 =&gt; op_nop, </v>
      </c>
      <c r="Z7" s="16" t="str">
        <f t="shared" si="0"/>
        <v>1 1 INSTRUCTION _DROP</v>
      </c>
      <c r="AA7" s="16" t="str">
        <f t="shared" si="1"/>
        <v>," DROP"</v>
      </c>
    </row>
    <row r="8" spans="1:27" x14ac:dyDescent="0.2">
      <c r="B8" s="3" t="s">
        <v>21</v>
      </c>
      <c r="D8" s="3">
        <v>0</v>
      </c>
      <c r="E8" s="3">
        <v>0</v>
      </c>
      <c r="F8" s="3">
        <f>F7+1</f>
        <v>2</v>
      </c>
      <c r="H8" s="4">
        <f t="shared" si="2"/>
        <v>2</v>
      </c>
      <c r="I8" s="3" t="str">
        <f t="shared" si="3"/>
        <v>0000010</v>
      </c>
      <c r="J8" s="3" t="str">
        <f t="shared" si="4"/>
        <v>2</v>
      </c>
      <c r="L8" s="5" t="s">
        <v>22</v>
      </c>
      <c r="M8" s="2" t="s">
        <v>23</v>
      </c>
      <c r="N8" s="3">
        <v>1</v>
      </c>
      <c r="P8" s="3" t="s">
        <v>190</v>
      </c>
      <c r="Q8" s="3">
        <v>0</v>
      </c>
      <c r="R8" s="14" t="s">
        <v>203</v>
      </c>
      <c r="S8" s="14"/>
      <c r="T8" s="14"/>
      <c r="V8" s="2" t="str">
        <f t="shared" si="5"/>
        <v xml:space="preserve">2 =&gt; pf_nxt_1, </v>
      </c>
      <c r="W8" s="2" t="str">
        <f t="shared" si="6"/>
        <v xml:space="preserve">2 =&gt; 0, </v>
      </c>
      <c r="X8" s="2" t="str">
        <f t="shared" si="7"/>
        <v xml:space="preserve">2 =&gt; op_nop, </v>
      </c>
      <c r="Z8" s="16" t="str">
        <f t="shared" si="0"/>
        <v>1 2 INSTRUCTION _DUP</v>
      </c>
      <c r="AA8" s="16" t="str">
        <f t="shared" si="1"/>
        <v>," DUP"</v>
      </c>
    </row>
    <row r="9" spans="1:27" x14ac:dyDescent="0.2">
      <c r="B9" s="3" t="s">
        <v>24</v>
      </c>
      <c r="D9" s="3">
        <v>0</v>
      </c>
      <c r="E9" s="3">
        <v>0</v>
      </c>
      <c r="F9" s="3">
        <f>F8+1</f>
        <v>3</v>
      </c>
      <c r="H9" s="4">
        <f t="shared" si="2"/>
        <v>3</v>
      </c>
      <c r="I9" s="3" t="str">
        <f t="shared" si="3"/>
        <v>0000011</v>
      </c>
      <c r="J9" s="3" t="str">
        <f t="shared" si="4"/>
        <v>3</v>
      </c>
      <c r="L9" s="5" t="s">
        <v>25</v>
      </c>
      <c r="M9" s="2" t="s">
        <v>26</v>
      </c>
      <c r="N9" s="3">
        <v>1</v>
      </c>
      <c r="P9" s="3" t="s">
        <v>190</v>
      </c>
      <c r="Q9" s="3">
        <v>0</v>
      </c>
      <c r="R9" s="14" t="s">
        <v>203</v>
      </c>
      <c r="S9" s="14"/>
      <c r="T9" s="14"/>
      <c r="V9" s="2" t="str">
        <f t="shared" si="5"/>
        <v xml:space="preserve">3 =&gt; pf_nxt_1, </v>
      </c>
      <c r="W9" s="2" t="str">
        <f t="shared" si="6"/>
        <v xml:space="preserve">3 =&gt; 0, </v>
      </c>
      <c r="X9" s="2" t="str">
        <f t="shared" si="7"/>
        <v xml:space="preserve">3 =&gt; op_nop, </v>
      </c>
      <c r="Z9" s="16" t="str">
        <f t="shared" si="0"/>
        <v>1 3 INSTRUCTION _SWAP</v>
      </c>
      <c r="AA9" s="16" t="str">
        <f t="shared" si="1"/>
        <v>," SWAP"</v>
      </c>
    </row>
    <row r="10" spans="1:27" x14ac:dyDescent="0.2">
      <c r="B10" s="3" t="s">
        <v>27</v>
      </c>
      <c r="D10" s="3">
        <v>0</v>
      </c>
      <c r="E10" s="3">
        <v>0</v>
      </c>
      <c r="F10" s="3">
        <f>F9+1</f>
        <v>4</v>
      </c>
      <c r="H10" s="4">
        <f t="shared" si="2"/>
        <v>4</v>
      </c>
      <c r="I10" s="3" t="str">
        <f t="shared" si="3"/>
        <v>0000100</v>
      </c>
      <c r="J10" s="3" t="str">
        <f t="shared" si="4"/>
        <v>4</v>
      </c>
      <c r="L10" s="5" t="s">
        <v>28</v>
      </c>
      <c r="M10" s="2" t="s">
        <v>29</v>
      </c>
      <c r="N10" s="3">
        <v>1</v>
      </c>
      <c r="P10" s="3" t="s">
        <v>190</v>
      </c>
      <c r="Q10" s="3">
        <v>0</v>
      </c>
      <c r="R10" s="14" t="s">
        <v>203</v>
      </c>
      <c r="S10" s="14"/>
      <c r="T10" s="14"/>
      <c r="V10" s="2" t="str">
        <f t="shared" si="5"/>
        <v xml:space="preserve">4 =&gt; pf_nxt_1, </v>
      </c>
      <c r="W10" s="2" t="str">
        <f t="shared" si="6"/>
        <v xml:space="preserve">4 =&gt; 0, </v>
      </c>
      <c r="X10" s="2" t="str">
        <f t="shared" si="7"/>
        <v xml:space="preserve">4 =&gt; op_nop, </v>
      </c>
      <c r="Z10" s="16" t="str">
        <f t="shared" si="0"/>
        <v>1 4 INSTRUCTION _OVER</v>
      </c>
      <c r="AA10" s="16" t="str">
        <f t="shared" si="1"/>
        <v>," OVER"</v>
      </c>
    </row>
    <row r="11" spans="1:27" x14ac:dyDescent="0.2">
      <c r="B11" s="3" t="s">
        <v>30</v>
      </c>
      <c r="D11" s="3">
        <v>0</v>
      </c>
      <c r="E11" s="3">
        <v>0</v>
      </c>
      <c r="F11" s="3">
        <f t="shared" ref="F11:F19" si="8">F10+1</f>
        <v>5</v>
      </c>
      <c r="H11" s="4">
        <f t="shared" si="2"/>
        <v>5</v>
      </c>
      <c r="I11" s="3" t="str">
        <f t="shared" si="3"/>
        <v>0000101</v>
      </c>
      <c r="J11" s="3" t="str">
        <f t="shared" si="4"/>
        <v>5</v>
      </c>
      <c r="L11" s="5" t="s">
        <v>31</v>
      </c>
      <c r="M11" s="2" t="s">
        <v>32</v>
      </c>
      <c r="N11" s="3">
        <v>1</v>
      </c>
      <c r="P11" s="3" t="s">
        <v>190</v>
      </c>
      <c r="Q11" s="3">
        <v>0</v>
      </c>
      <c r="R11" s="14" t="s">
        <v>203</v>
      </c>
      <c r="S11" s="14"/>
      <c r="T11" s="14"/>
      <c r="V11" s="2" t="str">
        <f t="shared" si="5"/>
        <v xml:space="preserve">5 =&gt; pf_nxt_1, </v>
      </c>
      <c r="W11" s="2" t="str">
        <f t="shared" si="6"/>
        <v xml:space="preserve">5 =&gt; 0, </v>
      </c>
      <c r="X11" s="2" t="str">
        <f t="shared" si="7"/>
        <v xml:space="preserve">5 =&gt; op_nop, </v>
      </c>
      <c r="Z11" s="16" t="str">
        <f t="shared" si="0"/>
        <v>1 5 INSTRUCTION _NIP</v>
      </c>
      <c r="AA11" s="16" t="str">
        <f t="shared" si="1"/>
        <v>," NIP"</v>
      </c>
    </row>
    <row r="12" spans="1:27" x14ac:dyDescent="0.2">
      <c r="B12" s="3" t="s">
        <v>33</v>
      </c>
      <c r="D12" s="3">
        <v>0</v>
      </c>
      <c r="E12" s="3">
        <v>0</v>
      </c>
      <c r="F12" s="3">
        <f t="shared" si="8"/>
        <v>6</v>
      </c>
      <c r="H12" s="4">
        <f t="shared" si="2"/>
        <v>6</v>
      </c>
      <c r="I12" s="3" t="str">
        <f t="shared" si="3"/>
        <v>0000110</v>
      </c>
      <c r="J12" s="3" t="str">
        <f t="shared" si="4"/>
        <v>6</v>
      </c>
      <c r="L12" s="5" t="s">
        <v>34</v>
      </c>
      <c r="M12" s="2" t="s">
        <v>35</v>
      </c>
      <c r="N12" s="3">
        <v>1</v>
      </c>
      <c r="P12" s="3" t="s">
        <v>190</v>
      </c>
      <c r="Q12" s="3">
        <v>0</v>
      </c>
      <c r="R12" s="14" t="s">
        <v>203</v>
      </c>
      <c r="S12" s="14"/>
      <c r="T12" s="14"/>
      <c r="V12" s="2" t="str">
        <f t="shared" si="5"/>
        <v xml:space="preserve">6 =&gt; pf_nxt_1, </v>
      </c>
      <c r="W12" s="2" t="str">
        <f t="shared" si="6"/>
        <v xml:space="preserve">6 =&gt; 0, </v>
      </c>
      <c r="X12" s="2" t="str">
        <f t="shared" si="7"/>
        <v xml:space="preserve">6 =&gt; op_nop, </v>
      </c>
      <c r="Z12" s="16" t="str">
        <f t="shared" si="0"/>
        <v>1 6 INSTRUCTION _ROT</v>
      </c>
      <c r="AA12" s="16" t="str">
        <f t="shared" si="1"/>
        <v>," ROT"</v>
      </c>
    </row>
    <row r="13" spans="1:27" s="17" customFormat="1" x14ac:dyDescent="0.2">
      <c r="B13" s="14" t="s">
        <v>36</v>
      </c>
      <c r="C13" s="14"/>
      <c r="D13" s="14">
        <v>0</v>
      </c>
      <c r="E13" s="3">
        <v>0</v>
      </c>
      <c r="F13" s="3">
        <f t="shared" si="8"/>
        <v>7</v>
      </c>
      <c r="G13" s="3"/>
      <c r="H13" s="4">
        <f t="shared" si="2"/>
        <v>7</v>
      </c>
      <c r="I13" s="3" t="str">
        <f t="shared" si="3"/>
        <v>0000111</v>
      </c>
      <c r="J13" s="3" t="str">
        <f t="shared" si="4"/>
        <v>7</v>
      </c>
      <c r="K13" s="14"/>
      <c r="L13" s="18" t="s">
        <v>37</v>
      </c>
      <c r="M13" s="17" t="s">
        <v>38</v>
      </c>
      <c r="N13" s="3">
        <v>1</v>
      </c>
      <c r="O13" s="15"/>
      <c r="P13" s="3" t="s">
        <v>190</v>
      </c>
      <c r="Q13" s="3">
        <v>0</v>
      </c>
      <c r="R13" s="14" t="s">
        <v>203</v>
      </c>
      <c r="S13" s="14"/>
      <c r="T13" s="14"/>
      <c r="U13" s="2"/>
      <c r="V13" s="2" t="str">
        <f t="shared" si="5"/>
        <v xml:space="preserve">7 =&gt; pf_nxt_1, </v>
      </c>
      <c r="W13" s="2" t="str">
        <f t="shared" si="6"/>
        <v xml:space="preserve">7 =&gt; 0, </v>
      </c>
      <c r="X13" s="2" t="str">
        <f t="shared" si="7"/>
        <v xml:space="preserve">7 =&gt; op_nop, </v>
      </c>
      <c r="Z13" s="16" t="str">
        <f t="shared" si="0"/>
        <v>1 7 INSTRUCTION _&gt;R</v>
      </c>
      <c r="AA13" s="16" t="str">
        <f t="shared" si="1"/>
        <v>," &gt;R"</v>
      </c>
    </row>
    <row r="14" spans="1:27" x14ac:dyDescent="0.2">
      <c r="B14" s="3" t="s">
        <v>39</v>
      </c>
      <c r="D14" s="3">
        <v>0</v>
      </c>
      <c r="E14" s="3">
        <v>0</v>
      </c>
      <c r="F14" s="3">
        <f t="shared" si="8"/>
        <v>8</v>
      </c>
      <c r="H14" s="4">
        <f t="shared" si="2"/>
        <v>8</v>
      </c>
      <c r="I14" s="3" t="str">
        <f t="shared" si="3"/>
        <v>0001000</v>
      </c>
      <c r="J14" s="3" t="str">
        <f t="shared" si="4"/>
        <v>8</v>
      </c>
      <c r="L14" s="5" t="s">
        <v>40</v>
      </c>
      <c r="M14" s="2" t="s">
        <v>41</v>
      </c>
      <c r="N14" s="3">
        <v>1</v>
      </c>
      <c r="P14" s="3" t="s">
        <v>190</v>
      </c>
      <c r="Q14" s="3">
        <v>0</v>
      </c>
      <c r="R14" s="14" t="s">
        <v>203</v>
      </c>
      <c r="S14" s="14"/>
      <c r="T14" s="14"/>
      <c r="V14" s="2" t="str">
        <f t="shared" si="5"/>
        <v xml:space="preserve">8 =&gt; pf_nxt_1, </v>
      </c>
      <c r="W14" s="2" t="str">
        <f t="shared" si="6"/>
        <v xml:space="preserve">8 =&gt; 0, </v>
      </c>
      <c r="X14" s="2" t="str">
        <f t="shared" si="7"/>
        <v xml:space="preserve">8 =&gt; op_nop, </v>
      </c>
      <c r="Z14" s="16" t="str">
        <f t="shared" si="0"/>
        <v>1 8 INSTRUCTION _R@</v>
      </c>
      <c r="AA14" s="16" t="str">
        <f t="shared" si="1"/>
        <v>," R@"</v>
      </c>
    </row>
    <row r="15" spans="1:27" s="17" customFormat="1" x14ac:dyDescent="0.2">
      <c r="B15" s="14" t="s">
        <v>42</v>
      </c>
      <c r="C15" s="14"/>
      <c r="D15" s="14">
        <v>0</v>
      </c>
      <c r="E15" s="3">
        <v>0</v>
      </c>
      <c r="F15" s="3">
        <f t="shared" si="8"/>
        <v>9</v>
      </c>
      <c r="G15" s="3"/>
      <c r="H15" s="4">
        <f t="shared" si="2"/>
        <v>9</v>
      </c>
      <c r="I15" s="3" t="str">
        <f t="shared" si="3"/>
        <v>0001001</v>
      </c>
      <c r="J15" s="3" t="str">
        <f t="shared" si="4"/>
        <v>9</v>
      </c>
      <c r="K15" s="14"/>
      <c r="L15" s="19" t="s">
        <v>43</v>
      </c>
      <c r="M15" s="17" t="s">
        <v>44</v>
      </c>
      <c r="N15" s="3">
        <v>1</v>
      </c>
      <c r="O15" s="15"/>
      <c r="P15" s="3" t="s">
        <v>190</v>
      </c>
      <c r="Q15" s="3">
        <v>0</v>
      </c>
      <c r="R15" s="14" t="s">
        <v>203</v>
      </c>
      <c r="S15" s="14"/>
      <c r="T15" s="14"/>
      <c r="U15" s="2"/>
      <c r="V15" s="2" t="str">
        <f t="shared" si="5"/>
        <v xml:space="preserve">9 =&gt; pf_nxt_1, </v>
      </c>
      <c r="W15" s="2" t="str">
        <f t="shared" si="6"/>
        <v xml:space="preserve">9 =&gt; 0, </v>
      </c>
      <c r="X15" s="2" t="str">
        <f t="shared" si="7"/>
        <v xml:space="preserve">9 =&gt; op_nop, </v>
      </c>
      <c r="Z15" s="16" t="str">
        <f t="shared" si="0"/>
        <v>1 9 INSTRUCTION _R&gt;</v>
      </c>
      <c r="AA15" s="16" t="str">
        <f t="shared" si="1"/>
        <v>," R&gt;"</v>
      </c>
    </row>
    <row r="16" spans="1:27" s="17" customFormat="1" x14ac:dyDescent="0.2">
      <c r="B16" s="14" t="s">
        <v>45</v>
      </c>
      <c r="C16" s="14"/>
      <c r="D16" s="14">
        <v>0</v>
      </c>
      <c r="E16" s="3">
        <v>0</v>
      </c>
      <c r="F16" s="3">
        <f t="shared" si="8"/>
        <v>10</v>
      </c>
      <c r="G16" s="3"/>
      <c r="H16" s="4">
        <f t="shared" si="2"/>
        <v>10</v>
      </c>
      <c r="I16" s="3" t="str">
        <f t="shared" si="3"/>
        <v>0001010</v>
      </c>
      <c r="J16" s="3" t="str">
        <f t="shared" si="4"/>
        <v>A</v>
      </c>
      <c r="K16" s="14"/>
      <c r="L16" s="19" t="s">
        <v>46</v>
      </c>
      <c r="M16" s="17" t="s">
        <v>47</v>
      </c>
      <c r="N16" s="3">
        <v>1</v>
      </c>
      <c r="O16" s="15"/>
      <c r="P16" s="3" t="s">
        <v>190</v>
      </c>
      <c r="Q16" s="3">
        <v>0</v>
      </c>
      <c r="R16" s="14" t="s">
        <v>203</v>
      </c>
      <c r="S16" s="14"/>
      <c r="T16" s="14"/>
      <c r="U16" s="2"/>
      <c r="V16" s="2" t="str">
        <f t="shared" si="5"/>
        <v xml:space="preserve">10 =&gt; pf_nxt_1, </v>
      </c>
      <c r="W16" s="2" t="str">
        <f t="shared" si="6"/>
        <v xml:space="preserve">10 =&gt; 0, </v>
      </c>
      <c r="X16" s="2" t="str">
        <f t="shared" si="7"/>
        <v xml:space="preserve">10 =&gt; op_nop, </v>
      </c>
      <c r="Z16" s="16" t="str">
        <f t="shared" si="0"/>
        <v>1 10 INSTRUCTION _PSP@</v>
      </c>
      <c r="AA16" s="16" t="str">
        <f t="shared" si="1"/>
        <v>," PSP@"</v>
      </c>
    </row>
    <row r="17" spans="1:27" s="17" customFormat="1" x14ac:dyDescent="0.2">
      <c r="B17" s="14" t="s">
        <v>177</v>
      </c>
      <c r="C17" s="14"/>
      <c r="D17" s="14">
        <v>0</v>
      </c>
      <c r="E17" s="3">
        <v>0</v>
      </c>
      <c r="F17" s="3">
        <f t="shared" si="8"/>
        <v>11</v>
      </c>
      <c r="G17" s="3"/>
      <c r="H17" s="4">
        <f t="shared" si="2"/>
        <v>11</v>
      </c>
      <c r="I17" s="3" t="str">
        <f t="shared" si="3"/>
        <v>0001011</v>
      </c>
      <c r="J17" s="3" t="str">
        <f t="shared" si="4"/>
        <v>B</v>
      </c>
      <c r="K17" s="14"/>
      <c r="L17" s="19" t="s">
        <v>19</v>
      </c>
      <c r="M17" s="17" t="s">
        <v>48</v>
      </c>
      <c r="N17" s="3">
        <v>1</v>
      </c>
      <c r="O17" s="15"/>
      <c r="P17" s="3" t="s">
        <v>190</v>
      </c>
      <c r="Q17" s="3">
        <v>0</v>
      </c>
      <c r="R17" s="14" t="s">
        <v>203</v>
      </c>
      <c r="S17" s="14"/>
      <c r="T17" s="14"/>
      <c r="U17" s="2"/>
      <c r="V17" s="2" t="str">
        <f t="shared" si="5"/>
        <v xml:space="preserve">11 =&gt; pf_nxt_1, </v>
      </c>
      <c r="W17" s="2" t="str">
        <f t="shared" si="6"/>
        <v xml:space="preserve">11 =&gt; 0, </v>
      </c>
      <c r="X17" s="2" t="str">
        <f t="shared" si="7"/>
        <v xml:space="preserve">11 =&gt; op_nop, </v>
      </c>
      <c r="Z17" s="16" t="str">
        <f t="shared" si="0"/>
        <v>1 11 INSTRUCTION _UNUSED</v>
      </c>
      <c r="AA17" s="16" t="str">
        <f t="shared" si="1"/>
        <v>," UNUSED"</v>
      </c>
    </row>
    <row r="18" spans="1:27" x14ac:dyDescent="0.2">
      <c r="B18" s="14" t="s">
        <v>49</v>
      </c>
      <c r="D18" s="3">
        <v>0</v>
      </c>
      <c r="E18" s="3">
        <v>0</v>
      </c>
      <c r="F18" s="3">
        <f t="shared" si="8"/>
        <v>12</v>
      </c>
      <c r="H18" s="4">
        <f t="shared" si="2"/>
        <v>12</v>
      </c>
      <c r="I18" s="3" t="str">
        <f t="shared" si="3"/>
        <v>0001100</v>
      </c>
      <c r="J18" s="3" t="str">
        <f t="shared" si="4"/>
        <v>C</v>
      </c>
      <c r="L18" s="13" t="s">
        <v>16</v>
      </c>
      <c r="M18" s="2" t="s">
        <v>50</v>
      </c>
      <c r="N18" s="3">
        <v>1</v>
      </c>
      <c r="P18" s="3" t="s">
        <v>190</v>
      </c>
      <c r="Q18" s="3">
        <v>0</v>
      </c>
      <c r="R18" s="14" t="s">
        <v>203</v>
      </c>
      <c r="S18" s="3"/>
      <c r="T18" s="14"/>
      <c r="V18" s="2" t="str">
        <f t="shared" si="5"/>
        <v xml:space="preserve">12 =&gt; pf_nxt_1, </v>
      </c>
      <c r="W18" s="2" t="str">
        <f t="shared" si="6"/>
        <v xml:space="preserve">12 =&gt; 0, </v>
      </c>
      <c r="X18" s="2" t="str">
        <f t="shared" si="7"/>
        <v xml:space="preserve">12 =&gt; op_nop, </v>
      </c>
      <c r="Z18" s="16" t="str">
        <f t="shared" si="0"/>
        <v>1 12 INSTRUCTION _RESETSP</v>
      </c>
      <c r="AA18" s="16" t="str">
        <f t="shared" si="1"/>
        <v>," RESETSP"</v>
      </c>
    </row>
    <row r="19" spans="1:27" x14ac:dyDescent="0.2">
      <c r="B19" s="14" t="s">
        <v>177</v>
      </c>
      <c r="D19" s="3">
        <v>0</v>
      </c>
      <c r="E19" s="3">
        <v>0</v>
      </c>
      <c r="F19" s="3">
        <f t="shared" si="8"/>
        <v>13</v>
      </c>
      <c r="H19" s="4">
        <f t="shared" si="2"/>
        <v>13</v>
      </c>
      <c r="I19" s="3" t="str">
        <f t="shared" si="3"/>
        <v>0001101</v>
      </c>
      <c r="J19" s="3" t="str">
        <f t="shared" si="4"/>
        <v>D</v>
      </c>
      <c r="L19" s="5" t="s">
        <v>52</v>
      </c>
      <c r="M19" s="2" t="s">
        <v>53</v>
      </c>
      <c r="N19" s="3">
        <v>1</v>
      </c>
      <c r="P19" s="3" t="s">
        <v>190</v>
      </c>
      <c r="Q19" s="3">
        <v>0</v>
      </c>
      <c r="R19" s="14" t="s">
        <v>203</v>
      </c>
      <c r="S19" s="14"/>
      <c r="T19" s="14"/>
      <c r="V19" s="2" t="str">
        <f t="shared" si="5"/>
        <v xml:space="preserve">13 =&gt; pf_nxt_1, </v>
      </c>
      <c r="W19" s="2" t="str">
        <f t="shared" si="6"/>
        <v xml:space="preserve">13 =&gt; 0, </v>
      </c>
      <c r="X19" s="2" t="str">
        <f t="shared" si="7"/>
        <v xml:space="preserve">13 =&gt; op_nop, </v>
      </c>
      <c r="Z19" s="16" t="str">
        <f t="shared" si="0"/>
        <v>1 13 INSTRUCTION _UNUSED</v>
      </c>
      <c r="AA19" s="16" t="str">
        <f t="shared" si="1"/>
        <v>," UNUSED"</v>
      </c>
    </row>
    <row r="20" spans="1:27" x14ac:dyDescent="0.2">
      <c r="I20" s="3"/>
      <c r="Z20" s="16"/>
      <c r="AA20" s="16"/>
    </row>
    <row r="21" spans="1:27" x14ac:dyDescent="0.2">
      <c r="A21" s="2" t="s">
        <v>54</v>
      </c>
      <c r="I21" s="3"/>
      <c r="Z21" s="16"/>
      <c r="AA21" s="16"/>
    </row>
    <row r="22" spans="1:27" x14ac:dyDescent="0.2">
      <c r="B22" s="20" t="s">
        <v>55</v>
      </c>
      <c r="C22" s="20"/>
      <c r="D22" s="3">
        <v>0</v>
      </c>
      <c r="E22" s="3">
        <v>0</v>
      </c>
      <c r="F22" s="3">
        <f>F19+1</f>
        <v>14</v>
      </c>
      <c r="H22" s="4">
        <f t="shared" ref="H22:H29" si="9">F22+E22*64+D22*128</f>
        <v>14</v>
      </c>
      <c r="I22" s="3" t="str">
        <f t="shared" ref="I22:I29" si="10">DEC2BIN(H22,7)</f>
        <v>0001110</v>
      </c>
      <c r="J22" s="3" t="str">
        <f t="shared" ref="J22:J29" si="11">DEC2HEX(H22)</f>
        <v>E</v>
      </c>
      <c r="L22" s="5" t="s">
        <v>56</v>
      </c>
      <c r="M22" s="2" t="s">
        <v>57</v>
      </c>
      <c r="N22" s="3">
        <v>1</v>
      </c>
      <c r="P22" s="3" t="s">
        <v>190</v>
      </c>
      <c r="Q22" s="3">
        <v>0</v>
      </c>
      <c r="R22" s="14" t="s">
        <v>203</v>
      </c>
      <c r="S22" s="14"/>
      <c r="T22" s="14"/>
      <c r="U22" s="21"/>
      <c r="V22" s="2" t="str">
        <f t="shared" si="5"/>
        <v xml:space="preserve">14 =&gt; pf_nxt_1, </v>
      </c>
      <c r="W22" s="2" t="str">
        <f t="shared" si="6"/>
        <v xml:space="preserve">14 =&gt; 0, </v>
      </c>
      <c r="X22" s="2" t="str">
        <f t="shared" ref="X22:X29" si="12">_xlfn.CONCAT($H22, " =&gt; ", R22, ", ")</f>
        <v xml:space="preserve">14 =&gt; op_nop, </v>
      </c>
      <c r="Z22" s="16" t="str">
        <f t="shared" ref="Z22:Z29" si="13">"1 "&amp;H22&amp;" INSTRUCTION _"&amp;B22</f>
        <v>1 14 INSTRUCTION _+</v>
      </c>
      <c r="AA22" s="16" t="str">
        <f t="shared" ref="AA22:AA29" si="14">CHAR(44)&amp;CHAR(34)&amp;CHAR(32)&amp;B22&amp;CHAR(34)</f>
        <v>," +"</v>
      </c>
    </row>
    <row r="23" spans="1:27" x14ac:dyDescent="0.2">
      <c r="B23" s="20" t="s">
        <v>58</v>
      </c>
      <c r="C23" s="20"/>
      <c r="D23" s="3">
        <v>0</v>
      </c>
      <c r="E23" s="3">
        <v>0</v>
      </c>
      <c r="F23" s="3">
        <f>F22+1</f>
        <v>15</v>
      </c>
      <c r="H23" s="4">
        <f t="shared" si="9"/>
        <v>15</v>
      </c>
      <c r="I23" s="3" t="str">
        <f t="shared" si="10"/>
        <v>0001111</v>
      </c>
      <c r="J23" s="3" t="str">
        <f t="shared" si="11"/>
        <v>F</v>
      </c>
      <c r="L23" s="5" t="s">
        <v>56</v>
      </c>
      <c r="M23" s="2" t="s">
        <v>59</v>
      </c>
      <c r="N23" s="3">
        <v>1</v>
      </c>
      <c r="P23" s="3" t="s">
        <v>190</v>
      </c>
      <c r="Q23" s="3">
        <v>0</v>
      </c>
      <c r="R23" s="14" t="s">
        <v>203</v>
      </c>
      <c r="S23" s="14"/>
      <c r="T23" s="14"/>
      <c r="U23" s="21"/>
      <c r="V23" s="2" t="str">
        <f t="shared" si="5"/>
        <v xml:space="preserve">15 =&gt; pf_nxt_1, </v>
      </c>
      <c r="W23" s="2" t="str">
        <f t="shared" si="6"/>
        <v xml:space="preserve">15 =&gt; 0, </v>
      </c>
      <c r="X23" s="2" t="str">
        <f t="shared" si="12"/>
        <v xml:space="preserve">15 =&gt; op_nop, </v>
      </c>
      <c r="Z23" s="16" t="str">
        <f t="shared" si="13"/>
        <v>1 15 INSTRUCTION _-</v>
      </c>
      <c r="AA23" s="16" t="str">
        <f t="shared" si="14"/>
        <v>," -"</v>
      </c>
    </row>
    <row r="24" spans="1:27" x14ac:dyDescent="0.2">
      <c r="B24" s="3" t="s">
        <v>60</v>
      </c>
      <c r="D24" s="3">
        <v>0</v>
      </c>
      <c r="E24" s="3">
        <v>0</v>
      </c>
      <c r="F24" s="3">
        <f t="shared" ref="F24:F29" si="15">F23+1</f>
        <v>16</v>
      </c>
      <c r="H24" s="4">
        <f t="shared" si="9"/>
        <v>16</v>
      </c>
      <c r="I24" s="3" t="str">
        <f t="shared" si="10"/>
        <v>0010000</v>
      </c>
      <c r="J24" s="3" t="str">
        <f t="shared" si="11"/>
        <v>10</v>
      </c>
      <c r="L24" s="5" t="s">
        <v>61</v>
      </c>
      <c r="M24" s="2" t="s">
        <v>62</v>
      </c>
      <c r="N24" s="3">
        <v>1</v>
      </c>
      <c r="P24" s="3" t="s">
        <v>190</v>
      </c>
      <c r="Q24" s="3">
        <v>0</v>
      </c>
      <c r="R24" s="14" t="s">
        <v>203</v>
      </c>
      <c r="S24" s="14"/>
      <c r="T24" s="14"/>
      <c r="U24" s="21"/>
      <c r="V24" s="2" t="str">
        <f t="shared" si="5"/>
        <v xml:space="preserve">16 =&gt; pf_nxt_1, </v>
      </c>
      <c r="W24" s="2" t="str">
        <f t="shared" si="6"/>
        <v xml:space="preserve">16 =&gt; 0, </v>
      </c>
      <c r="X24" s="2" t="str">
        <f t="shared" si="12"/>
        <v xml:space="preserve">16 =&gt; op_nop, </v>
      </c>
      <c r="Z24" s="16" t="str">
        <f t="shared" si="13"/>
        <v>1 16 INSTRUCTION _NEGATE</v>
      </c>
      <c r="AA24" s="16" t="str">
        <f t="shared" si="14"/>
        <v>," NEGATE"</v>
      </c>
    </row>
    <row r="25" spans="1:27" s="17" customFormat="1" x14ac:dyDescent="0.2">
      <c r="B25" s="14" t="s">
        <v>63</v>
      </c>
      <c r="C25" s="14"/>
      <c r="D25" s="3">
        <v>0</v>
      </c>
      <c r="E25" s="3">
        <v>0</v>
      </c>
      <c r="F25" s="3">
        <f t="shared" si="15"/>
        <v>17</v>
      </c>
      <c r="G25" s="3"/>
      <c r="H25" s="4">
        <f t="shared" si="9"/>
        <v>17</v>
      </c>
      <c r="I25" s="3" t="str">
        <f t="shared" si="10"/>
        <v>0010001</v>
      </c>
      <c r="J25" s="3" t="str">
        <f t="shared" si="11"/>
        <v>11</v>
      </c>
      <c r="K25" s="3"/>
      <c r="L25" s="18" t="s">
        <v>64</v>
      </c>
      <c r="M25" s="17" t="s">
        <v>65</v>
      </c>
      <c r="N25" s="3">
        <v>1</v>
      </c>
      <c r="O25" s="15"/>
      <c r="P25" s="3" t="s">
        <v>190</v>
      </c>
      <c r="Q25" s="3">
        <v>0</v>
      </c>
      <c r="R25" s="14" t="s">
        <v>203</v>
      </c>
      <c r="S25" s="14"/>
      <c r="T25" s="14"/>
      <c r="U25" s="21"/>
      <c r="V25" s="2" t="str">
        <f t="shared" si="5"/>
        <v xml:space="preserve">17 =&gt; pf_nxt_1, </v>
      </c>
      <c r="W25" s="2" t="str">
        <f t="shared" si="6"/>
        <v xml:space="preserve">17 =&gt; 0, </v>
      </c>
      <c r="X25" s="2" t="str">
        <f t="shared" si="12"/>
        <v xml:space="preserve">17 =&gt; op_nop, </v>
      </c>
      <c r="Z25" s="16" t="str">
        <f t="shared" si="13"/>
        <v>1 17 INSTRUCTION _1+</v>
      </c>
      <c r="AA25" s="16" t="str">
        <f t="shared" si="14"/>
        <v>," 1+"</v>
      </c>
    </row>
    <row r="26" spans="1:27" s="17" customFormat="1" x14ac:dyDescent="0.2">
      <c r="B26" s="22" t="s">
        <v>66</v>
      </c>
      <c r="C26" s="14"/>
      <c r="D26" s="3">
        <v>0</v>
      </c>
      <c r="E26" s="3">
        <v>0</v>
      </c>
      <c r="F26" s="3">
        <f t="shared" si="15"/>
        <v>18</v>
      </c>
      <c r="G26" s="3"/>
      <c r="H26" s="4">
        <f t="shared" si="9"/>
        <v>18</v>
      </c>
      <c r="I26" s="3" t="str">
        <f t="shared" si="10"/>
        <v>0010010</v>
      </c>
      <c r="J26" s="3" t="str">
        <f t="shared" si="11"/>
        <v>12</v>
      </c>
      <c r="K26" s="3"/>
      <c r="L26" s="18" t="s">
        <v>64</v>
      </c>
      <c r="M26" s="17" t="s">
        <v>67</v>
      </c>
      <c r="N26" s="3">
        <v>1</v>
      </c>
      <c r="O26" s="15"/>
      <c r="P26" s="3" t="s">
        <v>190</v>
      </c>
      <c r="Q26" s="3">
        <v>0</v>
      </c>
      <c r="R26" s="14" t="s">
        <v>203</v>
      </c>
      <c r="S26" s="14"/>
      <c r="T26" s="14"/>
      <c r="U26" s="21"/>
      <c r="V26" s="2" t="str">
        <f t="shared" si="5"/>
        <v xml:space="preserve">18 =&gt; pf_nxt_1, </v>
      </c>
      <c r="W26" s="2" t="str">
        <f t="shared" si="6"/>
        <v xml:space="preserve">18 =&gt; 0, </v>
      </c>
      <c r="X26" s="2" t="str">
        <f t="shared" si="12"/>
        <v xml:space="preserve">18 =&gt; op_nop, </v>
      </c>
      <c r="Z26" s="16" t="str">
        <f t="shared" si="13"/>
        <v>1 18 INSTRUCTION _1-</v>
      </c>
      <c r="AA26" s="16" t="str">
        <f t="shared" si="14"/>
        <v>," 1-"</v>
      </c>
    </row>
    <row r="27" spans="1:27" s="17" customFormat="1" x14ac:dyDescent="0.2">
      <c r="B27" s="22" t="s">
        <v>68</v>
      </c>
      <c r="C27" s="14"/>
      <c r="D27" s="3">
        <v>0</v>
      </c>
      <c r="E27" s="3">
        <v>0</v>
      </c>
      <c r="F27" s="3">
        <f>F26+1</f>
        <v>19</v>
      </c>
      <c r="G27" s="3"/>
      <c r="H27" s="4">
        <f t="shared" si="9"/>
        <v>19</v>
      </c>
      <c r="I27" s="3" t="str">
        <f t="shared" si="10"/>
        <v>0010011</v>
      </c>
      <c r="J27" s="3" t="str">
        <f t="shared" si="11"/>
        <v>13</v>
      </c>
      <c r="K27" s="3"/>
      <c r="L27" s="18" t="s">
        <v>64</v>
      </c>
      <c r="M27" s="17" t="s">
        <v>69</v>
      </c>
      <c r="N27" s="3">
        <v>1</v>
      </c>
      <c r="O27" s="15"/>
      <c r="P27" s="3" t="s">
        <v>190</v>
      </c>
      <c r="Q27" s="3">
        <v>0</v>
      </c>
      <c r="R27" s="14" t="s">
        <v>203</v>
      </c>
      <c r="S27" s="14"/>
      <c r="T27" s="14"/>
      <c r="U27" s="21"/>
      <c r="V27" s="2" t="str">
        <f t="shared" si="5"/>
        <v xml:space="preserve">19 =&gt; pf_nxt_1, </v>
      </c>
      <c r="W27" s="2" t="str">
        <f t="shared" si="6"/>
        <v xml:space="preserve">19 =&gt; 0, </v>
      </c>
      <c r="X27" s="2" t="str">
        <f t="shared" si="12"/>
        <v xml:space="preserve">19 =&gt; op_nop, </v>
      </c>
      <c r="Z27" s="16" t="str">
        <f t="shared" si="13"/>
        <v>1 19 INSTRUCTION _2/</v>
      </c>
      <c r="AA27" s="16" t="str">
        <f t="shared" si="14"/>
        <v>," 2/"</v>
      </c>
    </row>
    <row r="28" spans="1:27" s="17" customFormat="1" x14ac:dyDescent="0.2">
      <c r="B28" s="14" t="s">
        <v>70</v>
      </c>
      <c r="C28" s="14"/>
      <c r="D28" s="14">
        <v>0</v>
      </c>
      <c r="E28" s="3">
        <v>0</v>
      </c>
      <c r="F28" s="3">
        <f>F27+1</f>
        <v>20</v>
      </c>
      <c r="G28" s="3"/>
      <c r="H28" s="4">
        <f t="shared" si="9"/>
        <v>20</v>
      </c>
      <c r="I28" s="3" t="str">
        <f t="shared" si="10"/>
        <v>0010100</v>
      </c>
      <c r="J28" s="3" t="str">
        <f t="shared" si="11"/>
        <v>14</v>
      </c>
      <c r="K28" s="14"/>
      <c r="L28" s="5" t="s">
        <v>56</v>
      </c>
      <c r="M28" s="17" t="s">
        <v>71</v>
      </c>
      <c r="N28" s="3">
        <v>1</v>
      </c>
      <c r="O28" s="15"/>
      <c r="P28" s="3" t="s">
        <v>190</v>
      </c>
      <c r="Q28" s="3">
        <v>0</v>
      </c>
      <c r="R28" s="14" t="s">
        <v>203</v>
      </c>
      <c r="S28" s="14"/>
      <c r="T28" s="14"/>
      <c r="U28" s="21"/>
      <c r="V28" s="2" t="str">
        <f t="shared" si="5"/>
        <v xml:space="preserve">20 =&gt; pf_nxt_1, </v>
      </c>
      <c r="W28" s="2" t="str">
        <f t="shared" si="6"/>
        <v xml:space="preserve">20 =&gt; 0, </v>
      </c>
      <c r="X28" s="2" t="str">
        <f t="shared" si="12"/>
        <v xml:space="preserve">20 =&gt; op_nop, </v>
      </c>
      <c r="Z28" s="16" t="str">
        <f t="shared" si="13"/>
        <v>1 20 INSTRUCTION _ADDX</v>
      </c>
      <c r="AA28" s="16" t="str">
        <f t="shared" si="14"/>
        <v>," ADDX"</v>
      </c>
    </row>
    <row r="29" spans="1:27" s="17" customFormat="1" x14ac:dyDescent="0.2">
      <c r="B29" s="14" t="s">
        <v>72</v>
      </c>
      <c r="C29" s="14"/>
      <c r="D29" s="14">
        <v>0</v>
      </c>
      <c r="E29" s="3">
        <v>0</v>
      </c>
      <c r="F29" s="3">
        <f t="shared" si="15"/>
        <v>21</v>
      </c>
      <c r="G29" s="3"/>
      <c r="H29" s="4">
        <f t="shared" si="9"/>
        <v>21</v>
      </c>
      <c r="I29" s="3" t="str">
        <f t="shared" si="10"/>
        <v>0010101</v>
      </c>
      <c r="J29" s="3" t="str">
        <f t="shared" si="11"/>
        <v>15</v>
      </c>
      <c r="K29" s="14"/>
      <c r="L29" s="5" t="s">
        <v>56</v>
      </c>
      <c r="M29" s="17" t="s">
        <v>73</v>
      </c>
      <c r="N29" s="3">
        <v>1</v>
      </c>
      <c r="O29" s="15"/>
      <c r="P29" s="3" t="s">
        <v>190</v>
      </c>
      <c r="Q29" s="3">
        <v>0</v>
      </c>
      <c r="R29" s="14" t="s">
        <v>203</v>
      </c>
      <c r="S29" s="14"/>
      <c r="T29" s="14"/>
      <c r="U29" s="21"/>
      <c r="V29" s="2" t="str">
        <f t="shared" si="5"/>
        <v xml:space="preserve">21 =&gt; pf_nxt_1, </v>
      </c>
      <c r="W29" s="2" t="str">
        <f t="shared" si="6"/>
        <v xml:space="preserve">21 =&gt; 0, </v>
      </c>
      <c r="X29" s="2" t="str">
        <f t="shared" si="12"/>
        <v xml:space="preserve">21 =&gt; op_nop, </v>
      </c>
      <c r="Z29" s="16" t="str">
        <f t="shared" si="13"/>
        <v>1 21 INSTRUCTION _SUBX</v>
      </c>
      <c r="AA29" s="16" t="str">
        <f t="shared" si="14"/>
        <v>," SUBX"</v>
      </c>
    </row>
    <row r="30" spans="1:27" x14ac:dyDescent="0.2">
      <c r="E30" s="22"/>
      <c r="I30" s="3"/>
      <c r="N30" s="3"/>
      <c r="Z30" s="16"/>
      <c r="AA30" s="16"/>
    </row>
    <row r="31" spans="1:27" x14ac:dyDescent="0.2">
      <c r="A31" s="2" t="s">
        <v>74</v>
      </c>
      <c r="E31" s="22"/>
      <c r="I31" s="3"/>
      <c r="Z31" s="16"/>
      <c r="AA31" s="16"/>
    </row>
    <row r="32" spans="1:27" x14ac:dyDescent="0.2">
      <c r="A32" s="3"/>
      <c r="B32" s="20" t="s">
        <v>75</v>
      </c>
      <c r="C32" s="20"/>
      <c r="D32" s="3">
        <v>0</v>
      </c>
      <c r="E32" s="3">
        <v>0</v>
      </c>
      <c r="F32" s="3">
        <f>F29+1</f>
        <v>22</v>
      </c>
      <c r="H32" s="4">
        <f t="shared" ref="H32:H42" si="16">F32+E32*64+D32*128</f>
        <v>22</v>
      </c>
      <c r="I32" s="3" t="str">
        <f t="shared" ref="I32:I42" si="17">DEC2BIN(H32,7)</f>
        <v>0010110</v>
      </c>
      <c r="J32" s="3" t="str">
        <f t="shared" ref="J32:J42" si="18">DEC2HEX(H32)</f>
        <v>16</v>
      </c>
      <c r="L32" s="5" t="s">
        <v>76</v>
      </c>
      <c r="M32" s="2" t="s">
        <v>77</v>
      </c>
      <c r="N32" s="3">
        <v>1</v>
      </c>
      <c r="P32" s="3" t="s">
        <v>190</v>
      </c>
      <c r="Q32" s="3">
        <v>0</v>
      </c>
      <c r="R32" s="14" t="s">
        <v>203</v>
      </c>
      <c r="S32" s="14"/>
      <c r="T32" s="14"/>
      <c r="U32" s="21"/>
      <c r="V32" s="2" t="str">
        <f t="shared" si="5"/>
        <v xml:space="preserve">22 =&gt; pf_nxt_1, </v>
      </c>
      <c r="W32" s="2" t="str">
        <f t="shared" si="6"/>
        <v xml:space="preserve">22 =&gt; 0, </v>
      </c>
      <c r="X32" s="2" t="str">
        <f t="shared" ref="X32:X42" si="19">_xlfn.CONCAT($H32, " =&gt; ", R32, ", ")</f>
        <v xml:space="preserve">22 =&gt; op_nop, </v>
      </c>
      <c r="Z32" s="16" t="str">
        <f t="shared" ref="Z32:Z42" si="20">"1 "&amp;H32&amp;" INSTRUCTION _"&amp;B32</f>
        <v>1 22 INSTRUCTION _=</v>
      </c>
      <c r="AA32" s="16" t="str">
        <f t="shared" ref="AA32:AA42" si="21">CHAR(44)&amp;CHAR(34)&amp;CHAR(32)&amp;B32&amp;CHAR(34)</f>
        <v>," ="</v>
      </c>
    </row>
    <row r="33" spans="1:27" s="17" customFormat="1" x14ac:dyDescent="0.2">
      <c r="A33" s="3"/>
      <c r="B33" s="22" t="s">
        <v>78</v>
      </c>
      <c r="C33" s="14"/>
      <c r="D33" s="3">
        <v>0</v>
      </c>
      <c r="E33" s="3">
        <v>0</v>
      </c>
      <c r="F33" s="14">
        <f>F32+1</f>
        <v>23</v>
      </c>
      <c r="G33" s="14"/>
      <c r="H33" s="4">
        <f t="shared" si="16"/>
        <v>23</v>
      </c>
      <c r="I33" s="3" t="str">
        <f t="shared" si="17"/>
        <v>0010111</v>
      </c>
      <c r="J33" s="3" t="str">
        <f t="shared" si="18"/>
        <v>17</v>
      </c>
      <c r="K33" s="14"/>
      <c r="L33" s="18" t="s">
        <v>76</v>
      </c>
      <c r="M33" s="17" t="s">
        <v>79</v>
      </c>
      <c r="N33" s="3">
        <v>1</v>
      </c>
      <c r="O33" s="15"/>
      <c r="P33" s="3" t="s">
        <v>190</v>
      </c>
      <c r="Q33" s="3">
        <v>0</v>
      </c>
      <c r="R33" s="14" t="s">
        <v>203</v>
      </c>
      <c r="S33" s="14"/>
      <c r="T33" s="14"/>
      <c r="U33" s="21"/>
      <c r="V33" s="2" t="str">
        <f t="shared" si="5"/>
        <v xml:space="preserve">23 =&gt; pf_nxt_1, </v>
      </c>
      <c r="W33" s="2" t="str">
        <f t="shared" si="6"/>
        <v xml:space="preserve">23 =&gt; 0, </v>
      </c>
      <c r="X33" s="2" t="str">
        <f t="shared" si="19"/>
        <v xml:space="preserve">23 =&gt; op_nop, </v>
      </c>
      <c r="Z33" s="16" t="str">
        <f t="shared" si="20"/>
        <v>1 23 INSTRUCTION _&lt;&gt;</v>
      </c>
      <c r="AA33" s="16" t="str">
        <f t="shared" si="21"/>
        <v>," &lt;&gt;"</v>
      </c>
    </row>
    <row r="34" spans="1:27" x14ac:dyDescent="0.2">
      <c r="A34" s="3"/>
      <c r="B34" s="20" t="s">
        <v>80</v>
      </c>
      <c r="D34" s="3">
        <v>0</v>
      </c>
      <c r="E34" s="3">
        <v>0</v>
      </c>
      <c r="F34" s="14">
        <f t="shared" ref="F34:F42" si="22">F33+1</f>
        <v>24</v>
      </c>
      <c r="G34" s="14"/>
      <c r="H34" s="4">
        <f t="shared" si="16"/>
        <v>24</v>
      </c>
      <c r="I34" s="3" t="str">
        <f t="shared" si="17"/>
        <v>0011000</v>
      </c>
      <c r="J34" s="3" t="str">
        <f t="shared" si="18"/>
        <v>18</v>
      </c>
      <c r="L34" s="5" t="s">
        <v>76</v>
      </c>
      <c r="M34" s="2" t="s">
        <v>81</v>
      </c>
      <c r="N34" s="3">
        <v>1</v>
      </c>
      <c r="P34" s="3" t="s">
        <v>190</v>
      </c>
      <c r="Q34" s="3">
        <v>0</v>
      </c>
      <c r="R34" s="14" t="s">
        <v>203</v>
      </c>
      <c r="S34" s="14"/>
      <c r="T34" s="14"/>
      <c r="U34" s="21"/>
      <c r="V34" s="2" t="str">
        <f t="shared" si="5"/>
        <v xml:space="preserve">24 =&gt; pf_nxt_1, </v>
      </c>
      <c r="W34" s="2" t="str">
        <f t="shared" si="6"/>
        <v xml:space="preserve">24 =&gt; 0, </v>
      </c>
      <c r="X34" s="2" t="str">
        <f t="shared" si="19"/>
        <v xml:space="preserve">24 =&gt; op_nop, </v>
      </c>
      <c r="Z34" s="16" t="str">
        <f t="shared" si="20"/>
        <v>1 24 INSTRUCTION _&lt;</v>
      </c>
      <c r="AA34" s="16" t="str">
        <f t="shared" si="21"/>
        <v>," &lt;"</v>
      </c>
    </row>
    <row r="35" spans="1:27" x14ac:dyDescent="0.2">
      <c r="A35" s="3"/>
      <c r="B35" s="20" t="s">
        <v>82</v>
      </c>
      <c r="D35" s="3">
        <v>0</v>
      </c>
      <c r="E35" s="3">
        <v>0</v>
      </c>
      <c r="F35" s="14">
        <f t="shared" si="22"/>
        <v>25</v>
      </c>
      <c r="G35" s="14"/>
      <c r="H35" s="4">
        <f t="shared" si="16"/>
        <v>25</v>
      </c>
      <c r="I35" s="3" t="str">
        <f t="shared" si="17"/>
        <v>0011001</v>
      </c>
      <c r="J35" s="3" t="str">
        <f t="shared" si="18"/>
        <v>19</v>
      </c>
      <c r="L35" s="5" t="s">
        <v>76</v>
      </c>
      <c r="M35" s="2" t="s">
        <v>83</v>
      </c>
      <c r="N35" s="3">
        <v>1</v>
      </c>
      <c r="P35" s="3" t="s">
        <v>190</v>
      </c>
      <c r="Q35" s="3">
        <v>0</v>
      </c>
      <c r="R35" s="14" t="s">
        <v>203</v>
      </c>
      <c r="S35" s="14"/>
      <c r="T35" s="14"/>
      <c r="U35" s="21"/>
      <c r="V35" s="2" t="str">
        <f t="shared" si="5"/>
        <v xml:space="preserve">25 =&gt; pf_nxt_1, </v>
      </c>
      <c r="W35" s="2" t="str">
        <f t="shared" si="6"/>
        <v xml:space="preserve">25 =&gt; 0, </v>
      </c>
      <c r="X35" s="2" t="str">
        <f t="shared" si="19"/>
        <v xml:space="preserve">25 =&gt; op_nop, </v>
      </c>
      <c r="Z35" s="16" t="str">
        <f t="shared" si="20"/>
        <v>1 25 INSTRUCTION _&gt;</v>
      </c>
      <c r="AA35" s="16" t="str">
        <f t="shared" si="21"/>
        <v>," &gt;"</v>
      </c>
    </row>
    <row r="36" spans="1:27" x14ac:dyDescent="0.2">
      <c r="A36" s="3"/>
      <c r="B36" s="20" t="s">
        <v>84</v>
      </c>
      <c r="D36" s="3">
        <v>0</v>
      </c>
      <c r="E36" s="3">
        <v>0</v>
      </c>
      <c r="F36" s="14">
        <f t="shared" si="22"/>
        <v>26</v>
      </c>
      <c r="G36" s="14"/>
      <c r="H36" s="4">
        <f t="shared" si="16"/>
        <v>26</v>
      </c>
      <c r="I36" s="3" t="str">
        <f t="shared" si="17"/>
        <v>0011010</v>
      </c>
      <c r="J36" s="3" t="str">
        <f t="shared" si="18"/>
        <v>1A</v>
      </c>
      <c r="L36" s="5" t="s">
        <v>85</v>
      </c>
      <c r="M36" s="2" t="s">
        <v>86</v>
      </c>
      <c r="N36" s="3">
        <v>1</v>
      </c>
      <c r="P36" s="3" t="s">
        <v>190</v>
      </c>
      <c r="Q36" s="3">
        <v>0</v>
      </c>
      <c r="R36" s="14" t="s">
        <v>203</v>
      </c>
      <c r="S36" s="14"/>
      <c r="T36" s="14"/>
      <c r="U36" s="21"/>
      <c r="V36" s="2" t="str">
        <f t="shared" si="5"/>
        <v xml:space="preserve">26 =&gt; pf_nxt_1, </v>
      </c>
      <c r="W36" s="2" t="str">
        <f t="shared" si="6"/>
        <v xml:space="preserve">26 =&gt; 0, </v>
      </c>
      <c r="X36" s="2" t="str">
        <f t="shared" si="19"/>
        <v xml:space="preserve">26 =&gt; op_nop, </v>
      </c>
      <c r="Z36" s="16" t="str">
        <f t="shared" si="20"/>
        <v>1 26 INSTRUCTION _U&lt;</v>
      </c>
      <c r="AA36" s="16" t="str">
        <f t="shared" si="21"/>
        <v>," U&lt;"</v>
      </c>
    </row>
    <row r="37" spans="1:27" x14ac:dyDescent="0.2">
      <c r="A37" s="3"/>
      <c r="B37" s="20" t="s">
        <v>87</v>
      </c>
      <c r="D37" s="3">
        <v>0</v>
      </c>
      <c r="E37" s="3">
        <v>0</v>
      </c>
      <c r="F37" s="14">
        <f t="shared" si="22"/>
        <v>27</v>
      </c>
      <c r="G37" s="14"/>
      <c r="H37" s="4">
        <f t="shared" si="16"/>
        <v>27</v>
      </c>
      <c r="I37" s="3" t="str">
        <f t="shared" si="17"/>
        <v>0011011</v>
      </c>
      <c r="J37" s="3" t="str">
        <f t="shared" si="18"/>
        <v>1B</v>
      </c>
      <c r="L37" s="5" t="s">
        <v>85</v>
      </c>
      <c r="M37" s="2" t="s">
        <v>88</v>
      </c>
      <c r="N37" s="3">
        <v>1</v>
      </c>
      <c r="P37" s="3" t="s">
        <v>190</v>
      </c>
      <c r="Q37" s="3">
        <v>0</v>
      </c>
      <c r="R37" s="14" t="s">
        <v>203</v>
      </c>
      <c r="S37" s="14"/>
      <c r="T37" s="14"/>
      <c r="U37" s="21"/>
      <c r="V37" s="2" t="str">
        <f t="shared" si="5"/>
        <v xml:space="preserve">27 =&gt; pf_nxt_1, </v>
      </c>
      <c r="W37" s="2" t="str">
        <f t="shared" si="6"/>
        <v xml:space="preserve">27 =&gt; 0, </v>
      </c>
      <c r="X37" s="2" t="str">
        <f t="shared" si="19"/>
        <v xml:space="preserve">27 =&gt; op_nop, </v>
      </c>
      <c r="Z37" s="16" t="str">
        <f t="shared" si="20"/>
        <v>1 27 INSTRUCTION _U&gt;</v>
      </c>
      <c r="AA37" s="16" t="str">
        <f t="shared" si="21"/>
        <v>," U&gt;"</v>
      </c>
    </row>
    <row r="38" spans="1:27" s="17" customFormat="1" x14ac:dyDescent="0.2">
      <c r="A38" s="3"/>
      <c r="B38" s="22" t="s">
        <v>89</v>
      </c>
      <c r="C38" s="14"/>
      <c r="D38" s="3">
        <v>0</v>
      </c>
      <c r="E38" s="3">
        <v>0</v>
      </c>
      <c r="F38" s="14">
        <f t="shared" si="22"/>
        <v>28</v>
      </c>
      <c r="G38" s="14"/>
      <c r="H38" s="4">
        <f t="shared" si="16"/>
        <v>28</v>
      </c>
      <c r="I38" s="3" t="str">
        <f t="shared" si="17"/>
        <v>0011100</v>
      </c>
      <c r="J38" s="3" t="str">
        <f t="shared" si="18"/>
        <v>1C</v>
      </c>
      <c r="K38" s="14"/>
      <c r="L38" s="18" t="s">
        <v>90</v>
      </c>
      <c r="M38" s="17" t="s">
        <v>91</v>
      </c>
      <c r="N38" s="3">
        <v>1</v>
      </c>
      <c r="O38" s="15"/>
      <c r="P38" s="3" t="s">
        <v>190</v>
      </c>
      <c r="Q38" s="3">
        <v>0</v>
      </c>
      <c r="R38" s="14" t="s">
        <v>203</v>
      </c>
      <c r="S38" s="14"/>
      <c r="T38" s="14"/>
      <c r="U38" s="21"/>
      <c r="V38" s="2" t="str">
        <f t="shared" si="5"/>
        <v xml:space="preserve">28 =&gt; pf_nxt_1, </v>
      </c>
      <c r="W38" s="2" t="str">
        <f t="shared" si="6"/>
        <v xml:space="preserve">28 =&gt; 0, </v>
      </c>
      <c r="X38" s="2" t="str">
        <f t="shared" si="19"/>
        <v xml:space="preserve">28 =&gt; op_nop, </v>
      </c>
      <c r="Z38" s="16" t="str">
        <f t="shared" si="20"/>
        <v>1 28 INSTRUCTION _0=</v>
      </c>
      <c r="AA38" s="16" t="str">
        <f t="shared" si="21"/>
        <v>," 0="</v>
      </c>
    </row>
    <row r="39" spans="1:27" s="17" customFormat="1" x14ac:dyDescent="0.2">
      <c r="A39" s="3"/>
      <c r="B39" s="22" t="s">
        <v>92</v>
      </c>
      <c r="C39" s="14"/>
      <c r="D39" s="3">
        <v>0</v>
      </c>
      <c r="E39" s="3">
        <v>0</v>
      </c>
      <c r="F39" s="14">
        <f t="shared" si="22"/>
        <v>29</v>
      </c>
      <c r="G39" s="14"/>
      <c r="H39" s="4">
        <f t="shared" si="16"/>
        <v>29</v>
      </c>
      <c r="I39" s="3" t="str">
        <f t="shared" si="17"/>
        <v>0011101</v>
      </c>
      <c r="J39" s="3" t="str">
        <f t="shared" si="18"/>
        <v>1D</v>
      </c>
      <c r="K39" s="14"/>
      <c r="L39" s="18" t="s">
        <v>90</v>
      </c>
      <c r="M39" s="17" t="s">
        <v>93</v>
      </c>
      <c r="N39" s="3">
        <v>1</v>
      </c>
      <c r="O39" s="15"/>
      <c r="P39" s="3" t="s">
        <v>190</v>
      </c>
      <c r="Q39" s="3">
        <v>0</v>
      </c>
      <c r="R39" s="14" t="s">
        <v>203</v>
      </c>
      <c r="S39" s="14"/>
      <c r="T39" s="14"/>
      <c r="U39" s="21"/>
      <c r="V39" s="2" t="str">
        <f t="shared" si="5"/>
        <v xml:space="preserve">29 =&gt; pf_nxt_1, </v>
      </c>
      <c r="W39" s="2" t="str">
        <f t="shared" si="6"/>
        <v xml:space="preserve">29 =&gt; 0, </v>
      </c>
      <c r="X39" s="2" t="str">
        <f t="shared" si="19"/>
        <v xml:space="preserve">29 =&gt; op_nop, </v>
      </c>
      <c r="Z39" s="16" t="str">
        <f t="shared" si="20"/>
        <v>1 29 INSTRUCTION _0&lt;&gt;</v>
      </c>
      <c r="AA39" s="16" t="str">
        <f t="shared" si="21"/>
        <v>," 0&lt;&gt;"</v>
      </c>
    </row>
    <row r="40" spans="1:27" s="17" customFormat="1" x14ac:dyDescent="0.2">
      <c r="A40" s="3"/>
      <c r="B40" s="22" t="s">
        <v>94</v>
      </c>
      <c r="C40" s="14"/>
      <c r="D40" s="3">
        <v>0</v>
      </c>
      <c r="E40" s="3">
        <v>0</v>
      </c>
      <c r="F40" s="14">
        <f t="shared" si="22"/>
        <v>30</v>
      </c>
      <c r="G40" s="14"/>
      <c r="H40" s="4">
        <f t="shared" si="16"/>
        <v>30</v>
      </c>
      <c r="I40" s="3" t="str">
        <f t="shared" si="17"/>
        <v>0011110</v>
      </c>
      <c r="J40" s="3" t="str">
        <f t="shared" si="18"/>
        <v>1E</v>
      </c>
      <c r="K40" s="14"/>
      <c r="L40" s="18" t="s">
        <v>90</v>
      </c>
      <c r="M40" s="17" t="s">
        <v>95</v>
      </c>
      <c r="N40" s="3">
        <v>1</v>
      </c>
      <c r="O40" s="15"/>
      <c r="P40" s="3" t="s">
        <v>190</v>
      </c>
      <c r="Q40" s="3">
        <v>0</v>
      </c>
      <c r="R40" s="14" t="s">
        <v>203</v>
      </c>
      <c r="S40" s="14"/>
      <c r="T40" s="14"/>
      <c r="U40" s="21"/>
      <c r="V40" s="2" t="str">
        <f t="shared" si="5"/>
        <v xml:space="preserve">30 =&gt; pf_nxt_1, </v>
      </c>
      <c r="W40" s="2" t="str">
        <f t="shared" si="6"/>
        <v xml:space="preserve">30 =&gt; 0, </v>
      </c>
      <c r="X40" s="2" t="str">
        <f t="shared" si="19"/>
        <v xml:space="preserve">30 =&gt; op_nop, </v>
      </c>
      <c r="Z40" s="16" t="str">
        <f t="shared" si="20"/>
        <v>1 30 INSTRUCTION _0&lt;</v>
      </c>
      <c r="AA40" s="16" t="str">
        <f t="shared" si="21"/>
        <v>," 0&lt;"</v>
      </c>
    </row>
    <row r="41" spans="1:27" s="17" customFormat="1" x14ac:dyDescent="0.2">
      <c r="A41" s="3"/>
      <c r="B41" s="20" t="s">
        <v>96</v>
      </c>
      <c r="C41" s="3"/>
      <c r="D41" s="3">
        <v>0</v>
      </c>
      <c r="E41" s="3">
        <v>0</v>
      </c>
      <c r="F41" s="14">
        <f t="shared" si="22"/>
        <v>31</v>
      </c>
      <c r="G41" s="14"/>
      <c r="H41" s="4">
        <f t="shared" si="16"/>
        <v>31</v>
      </c>
      <c r="I41" s="3" t="str">
        <f t="shared" si="17"/>
        <v>0011111</v>
      </c>
      <c r="J41" s="3" t="str">
        <f t="shared" si="18"/>
        <v>1F</v>
      </c>
      <c r="K41" s="14"/>
      <c r="L41" s="18" t="s">
        <v>90</v>
      </c>
      <c r="M41" s="17" t="s">
        <v>97</v>
      </c>
      <c r="N41" s="3">
        <v>1</v>
      </c>
      <c r="O41" s="15"/>
      <c r="P41" s="3" t="s">
        <v>190</v>
      </c>
      <c r="Q41" s="3">
        <v>0</v>
      </c>
      <c r="R41" s="14" t="s">
        <v>203</v>
      </c>
      <c r="S41" s="14"/>
      <c r="T41" s="14"/>
      <c r="U41" s="21"/>
      <c r="V41" s="2" t="str">
        <f t="shared" si="5"/>
        <v xml:space="preserve">31 =&gt; pf_nxt_1, </v>
      </c>
      <c r="W41" s="2" t="str">
        <f t="shared" si="6"/>
        <v xml:space="preserve">31 =&gt; 0, </v>
      </c>
      <c r="X41" s="2" t="str">
        <f t="shared" si="19"/>
        <v xml:space="preserve">31 =&gt; op_nop, </v>
      </c>
      <c r="Z41" s="16" t="str">
        <f t="shared" si="20"/>
        <v>1 31 INSTRUCTION _0&gt;</v>
      </c>
      <c r="AA41" s="16" t="str">
        <f t="shared" si="21"/>
        <v>," 0&gt;"</v>
      </c>
    </row>
    <row r="42" spans="1:27" s="17" customFormat="1" x14ac:dyDescent="0.2">
      <c r="A42" s="3"/>
      <c r="B42" s="14" t="s">
        <v>51</v>
      </c>
      <c r="C42" s="14"/>
      <c r="D42" s="3">
        <v>0</v>
      </c>
      <c r="E42" s="3">
        <v>0</v>
      </c>
      <c r="F42" s="14">
        <f t="shared" si="22"/>
        <v>32</v>
      </c>
      <c r="G42" s="14"/>
      <c r="H42" s="4">
        <f t="shared" si="16"/>
        <v>32</v>
      </c>
      <c r="I42" s="3" t="str">
        <f t="shared" si="17"/>
        <v>0100000</v>
      </c>
      <c r="J42" s="3" t="str">
        <f t="shared" si="18"/>
        <v>20</v>
      </c>
      <c r="K42" s="14"/>
      <c r="L42" s="19" t="s">
        <v>98</v>
      </c>
      <c r="M42" s="17" t="s">
        <v>99</v>
      </c>
      <c r="N42" s="3">
        <v>1</v>
      </c>
      <c r="O42" s="15"/>
      <c r="P42" s="3" t="s">
        <v>190</v>
      </c>
      <c r="Q42" s="3">
        <v>0</v>
      </c>
      <c r="R42" s="14" t="s">
        <v>203</v>
      </c>
      <c r="S42" s="14"/>
      <c r="T42" s="14"/>
      <c r="U42" s="21"/>
      <c r="V42" s="2" t="str">
        <f t="shared" si="5"/>
        <v xml:space="preserve">32 =&gt; pf_nxt_1, </v>
      </c>
      <c r="W42" s="2" t="str">
        <f t="shared" si="6"/>
        <v xml:space="preserve">32 =&gt; 0, </v>
      </c>
      <c r="X42" s="2" t="str">
        <f t="shared" si="19"/>
        <v xml:space="preserve">32 =&gt; op_nop, </v>
      </c>
      <c r="Z42" s="16" t="str">
        <f t="shared" si="20"/>
        <v>1 32 INSTRUCTION _ZERO</v>
      </c>
      <c r="AA42" s="16" t="str">
        <f t="shared" si="21"/>
        <v>," ZERO"</v>
      </c>
    </row>
    <row r="43" spans="1:27" x14ac:dyDescent="0.2">
      <c r="E43" s="22"/>
      <c r="I43" s="3"/>
      <c r="Z43" s="16"/>
      <c r="AA43" s="16"/>
    </row>
    <row r="44" spans="1:27" x14ac:dyDescent="0.2">
      <c r="A44" s="2" t="s">
        <v>100</v>
      </c>
      <c r="E44" s="22"/>
      <c r="I44" s="3"/>
      <c r="Z44" s="16"/>
      <c r="AA44" s="16"/>
    </row>
    <row r="45" spans="1:27" x14ac:dyDescent="0.2">
      <c r="A45" s="3"/>
      <c r="B45" s="3" t="s">
        <v>101</v>
      </c>
      <c r="D45" s="3">
        <v>0</v>
      </c>
      <c r="E45" s="3">
        <v>0</v>
      </c>
      <c r="F45" s="3">
        <f>F42+1</f>
        <v>33</v>
      </c>
      <c r="H45" s="4">
        <f t="shared" ref="H45:H52" si="23">F45+E45*64+D45*128</f>
        <v>33</v>
      </c>
      <c r="I45" s="3" t="str">
        <f t="shared" ref="I45:I52" si="24">DEC2BIN(H45,7)</f>
        <v>0100001</v>
      </c>
      <c r="J45" s="3" t="str">
        <f t="shared" ref="J45:J52" si="25">DEC2HEX(H45)</f>
        <v>21</v>
      </c>
      <c r="L45" s="5" t="s">
        <v>102</v>
      </c>
      <c r="M45" s="2" t="s">
        <v>103</v>
      </c>
      <c r="N45" s="3">
        <v>1</v>
      </c>
      <c r="P45" s="3" t="s">
        <v>190</v>
      </c>
      <c r="Q45" s="3">
        <v>0</v>
      </c>
      <c r="R45" s="14" t="s">
        <v>203</v>
      </c>
      <c r="S45" s="14"/>
      <c r="T45" s="14"/>
      <c r="U45" s="21"/>
      <c r="V45" s="2" t="str">
        <f t="shared" si="5"/>
        <v xml:space="preserve">33 =&gt; pf_nxt_1, </v>
      </c>
      <c r="W45" s="2" t="str">
        <f t="shared" si="6"/>
        <v xml:space="preserve">33 =&gt; 0, </v>
      </c>
      <c r="X45" s="2" t="str">
        <f t="shared" ref="X45:X52" si="26">_xlfn.CONCAT($H45, " =&gt; ", R45, ", ")</f>
        <v xml:space="preserve">33 =&gt; op_nop, </v>
      </c>
      <c r="Z45" s="16" t="str">
        <f t="shared" ref="Z45:Z52" si="27">"1 "&amp;H45&amp;" INSTRUCTION _"&amp;B45</f>
        <v>1 33 INSTRUCTION _AND</v>
      </c>
      <c r="AA45" s="16" t="str">
        <f t="shared" ref="AA45:AA52" si="28">CHAR(44)&amp;CHAR(34)&amp;CHAR(32)&amp;B45&amp;CHAR(34)</f>
        <v>," AND"</v>
      </c>
    </row>
    <row r="46" spans="1:27" x14ac:dyDescent="0.2">
      <c r="A46" s="3"/>
      <c r="B46" s="3" t="s">
        <v>104</v>
      </c>
      <c r="D46" s="3">
        <v>0</v>
      </c>
      <c r="E46" s="3">
        <v>0</v>
      </c>
      <c r="F46" s="3">
        <f>F45+1</f>
        <v>34</v>
      </c>
      <c r="H46" s="4">
        <f t="shared" si="23"/>
        <v>34</v>
      </c>
      <c r="I46" s="3" t="str">
        <f t="shared" si="24"/>
        <v>0100010</v>
      </c>
      <c r="J46" s="3" t="str">
        <f t="shared" si="25"/>
        <v>22</v>
      </c>
      <c r="L46" s="5" t="s">
        <v>102</v>
      </c>
      <c r="M46" s="2" t="s">
        <v>105</v>
      </c>
      <c r="N46" s="3">
        <v>1</v>
      </c>
      <c r="P46" s="3" t="s">
        <v>190</v>
      </c>
      <c r="Q46" s="3">
        <v>0</v>
      </c>
      <c r="R46" s="14" t="s">
        <v>203</v>
      </c>
      <c r="S46" s="14"/>
      <c r="T46" s="14"/>
      <c r="U46" s="21"/>
      <c r="V46" s="2" t="str">
        <f t="shared" si="5"/>
        <v xml:space="preserve">34 =&gt; pf_nxt_1, </v>
      </c>
      <c r="W46" s="2" t="str">
        <f t="shared" si="6"/>
        <v xml:space="preserve">34 =&gt; 0, </v>
      </c>
      <c r="X46" s="2" t="str">
        <f t="shared" si="26"/>
        <v xml:space="preserve">34 =&gt; op_nop, </v>
      </c>
      <c r="Z46" s="16" t="str">
        <f t="shared" si="27"/>
        <v>1 34 INSTRUCTION _OR</v>
      </c>
      <c r="AA46" s="16" t="str">
        <f t="shared" si="28"/>
        <v>," OR"</v>
      </c>
    </row>
    <row r="47" spans="1:27" x14ac:dyDescent="0.2">
      <c r="A47" s="3"/>
      <c r="B47" s="3" t="s">
        <v>106</v>
      </c>
      <c r="D47" s="3">
        <v>0</v>
      </c>
      <c r="E47" s="3">
        <v>0</v>
      </c>
      <c r="F47" s="3">
        <f t="shared" ref="F47:F52" si="29">F46+1</f>
        <v>35</v>
      </c>
      <c r="H47" s="4">
        <f t="shared" si="23"/>
        <v>35</v>
      </c>
      <c r="I47" s="3" t="str">
        <f t="shared" si="24"/>
        <v>0100011</v>
      </c>
      <c r="J47" s="3" t="str">
        <f t="shared" si="25"/>
        <v>23</v>
      </c>
      <c r="L47" s="5" t="s">
        <v>61</v>
      </c>
      <c r="M47" s="2" t="s">
        <v>107</v>
      </c>
      <c r="N47" s="3">
        <v>1</v>
      </c>
      <c r="P47" s="3" t="s">
        <v>190</v>
      </c>
      <c r="Q47" s="3">
        <v>0</v>
      </c>
      <c r="R47" s="14" t="s">
        <v>203</v>
      </c>
      <c r="S47" s="14"/>
      <c r="T47" s="14"/>
      <c r="U47" s="21"/>
      <c r="V47" s="2" t="str">
        <f t="shared" si="5"/>
        <v xml:space="preserve">35 =&gt; pf_nxt_1, </v>
      </c>
      <c r="W47" s="2" t="str">
        <f t="shared" si="6"/>
        <v xml:space="preserve">35 =&gt; 0, </v>
      </c>
      <c r="X47" s="2" t="str">
        <f t="shared" si="26"/>
        <v xml:space="preserve">35 =&gt; op_nop, </v>
      </c>
      <c r="Z47" s="16" t="str">
        <f t="shared" si="27"/>
        <v>1 35 INSTRUCTION _INVERT</v>
      </c>
      <c r="AA47" s="16" t="str">
        <f t="shared" si="28"/>
        <v>," INVERT"</v>
      </c>
    </row>
    <row r="48" spans="1:27" x14ac:dyDescent="0.2">
      <c r="A48" s="3"/>
      <c r="B48" s="3" t="s">
        <v>108</v>
      </c>
      <c r="D48" s="3">
        <v>0</v>
      </c>
      <c r="E48" s="3">
        <v>0</v>
      </c>
      <c r="F48" s="3">
        <f t="shared" si="29"/>
        <v>36</v>
      </c>
      <c r="H48" s="4">
        <f t="shared" si="23"/>
        <v>36</v>
      </c>
      <c r="I48" s="3" t="str">
        <f t="shared" si="24"/>
        <v>0100100</v>
      </c>
      <c r="J48" s="3" t="str">
        <f t="shared" si="25"/>
        <v>24</v>
      </c>
      <c r="L48" s="5" t="s">
        <v>102</v>
      </c>
      <c r="M48" s="2" t="s">
        <v>109</v>
      </c>
      <c r="N48" s="3">
        <v>1</v>
      </c>
      <c r="P48" s="3" t="s">
        <v>190</v>
      </c>
      <c r="Q48" s="3">
        <v>0</v>
      </c>
      <c r="R48" s="14" t="s">
        <v>203</v>
      </c>
      <c r="S48" s="14"/>
      <c r="T48" s="14"/>
      <c r="U48" s="21"/>
      <c r="V48" s="2" t="str">
        <f t="shared" si="5"/>
        <v xml:space="preserve">36 =&gt; pf_nxt_1, </v>
      </c>
      <c r="W48" s="2" t="str">
        <f t="shared" si="6"/>
        <v xml:space="preserve">36 =&gt; 0, </v>
      </c>
      <c r="X48" s="2" t="str">
        <f t="shared" si="26"/>
        <v xml:space="preserve">36 =&gt; op_nop, </v>
      </c>
      <c r="Z48" s="16" t="str">
        <f t="shared" si="27"/>
        <v>1 36 INSTRUCTION _XOR</v>
      </c>
      <c r="AA48" s="16" t="str">
        <f t="shared" si="28"/>
        <v>," XOR"</v>
      </c>
    </row>
    <row r="49" spans="1:27" x14ac:dyDescent="0.2">
      <c r="A49" s="3"/>
      <c r="B49" s="3" t="s">
        <v>110</v>
      </c>
      <c r="D49" s="3">
        <v>0</v>
      </c>
      <c r="E49" s="3">
        <v>0</v>
      </c>
      <c r="F49" s="3">
        <f t="shared" si="29"/>
        <v>37</v>
      </c>
      <c r="H49" s="4">
        <f t="shared" si="23"/>
        <v>37</v>
      </c>
      <c r="I49" s="3" t="str">
        <f t="shared" si="24"/>
        <v>0100101</v>
      </c>
      <c r="J49" s="3" t="str">
        <f t="shared" si="25"/>
        <v>25</v>
      </c>
      <c r="L49" s="5" t="s">
        <v>111</v>
      </c>
      <c r="M49" s="2" t="s">
        <v>112</v>
      </c>
      <c r="N49" s="3">
        <v>1</v>
      </c>
      <c r="P49" s="3" t="s">
        <v>190</v>
      </c>
      <c r="Q49" s="3">
        <v>0</v>
      </c>
      <c r="R49" s="14" t="s">
        <v>203</v>
      </c>
      <c r="S49" s="3"/>
      <c r="T49" s="3"/>
      <c r="U49" s="3"/>
      <c r="V49" s="2" t="str">
        <f t="shared" si="5"/>
        <v xml:space="preserve">37 =&gt; pf_nxt_1, </v>
      </c>
      <c r="W49" s="2" t="str">
        <f t="shared" si="6"/>
        <v xml:space="preserve">37 =&gt; 0, </v>
      </c>
      <c r="X49" s="2" t="str">
        <f t="shared" si="26"/>
        <v xml:space="preserve">37 =&gt; op_nop, </v>
      </c>
      <c r="Z49" s="16" t="str">
        <f t="shared" si="27"/>
        <v>1 37 INSTRUCTION _LSL</v>
      </c>
      <c r="AA49" s="16" t="str">
        <f t="shared" si="28"/>
        <v>," LSL"</v>
      </c>
    </row>
    <row r="50" spans="1:27" s="17" customFormat="1" x14ac:dyDescent="0.2">
      <c r="A50" s="14"/>
      <c r="B50" s="14" t="s">
        <v>113</v>
      </c>
      <c r="C50" s="14"/>
      <c r="D50" s="14">
        <v>0</v>
      </c>
      <c r="E50" s="14">
        <v>0</v>
      </c>
      <c r="F50" s="14">
        <f t="shared" si="29"/>
        <v>38</v>
      </c>
      <c r="G50" s="14"/>
      <c r="H50" s="23">
        <f t="shared" si="23"/>
        <v>38</v>
      </c>
      <c r="I50" s="3" t="str">
        <f t="shared" si="24"/>
        <v>0100110</v>
      </c>
      <c r="J50" s="14" t="str">
        <f t="shared" si="25"/>
        <v>26</v>
      </c>
      <c r="K50" s="14"/>
      <c r="L50" s="18" t="s">
        <v>111</v>
      </c>
      <c r="M50" s="17" t="s">
        <v>114</v>
      </c>
      <c r="N50" s="3">
        <v>1</v>
      </c>
      <c r="O50" s="15"/>
      <c r="P50" s="3" t="s">
        <v>190</v>
      </c>
      <c r="Q50" s="3">
        <v>0</v>
      </c>
      <c r="R50" s="14" t="s">
        <v>203</v>
      </c>
      <c r="S50" s="14"/>
      <c r="T50" s="14"/>
      <c r="U50" s="14"/>
      <c r="V50" s="2" t="str">
        <f t="shared" si="5"/>
        <v xml:space="preserve">38 =&gt; pf_nxt_1, </v>
      </c>
      <c r="W50" s="2" t="str">
        <f t="shared" si="6"/>
        <v xml:space="preserve">38 =&gt; 0, </v>
      </c>
      <c r="X50" s="2" t="str">
        <f t="shared" si="26"/>
        <v xml:space="preserve">38 =&gt; op_nop, </v>
      </c>
      <c r="Z50" s="24" t="str">
        <f t="shared" si="27"/>
        <v>1 38 INSTRUCTION _LSR</v>
      </c>
      <c r="AA50" s="24" t="str">
        <f t="shared" si="28"/>
        <v>," LSR"</v>
      </c>
    </row>
    <row r="51" spans="1:27" x14ac:dyDescent="0.2">
      <c r="A51" s="3"/>
      <c r="B51" s="3" t="s">
        <v>115</v>
      </c>
      <c r="D51" s="3">
        <v>0</v>
      </c>
      <c r="E51" s="3">
        <v>0</v>
      </c>
      <c r="F51" s="3">
        <f t="shared" si="29"/>
        <v>39</v>
      </c>
      <c r="H51" s="4">
        <f t="shared" si="23"/>
        <v>39</v>
      </c>
      <c r="I51" s="3" t="str">
        <f t="shared" si="24"/>
        <v>0100111</v>
      </c>
      <c r="J51" s="3" t="str">
        <f t="shared" si="25"/>
        <v>27</v>
      </c>
      <c r="L51" s="5" t="s">
        <v>111</v>
      </c>
      <c r="M51" s="2" t="s">
        <v>116</v>
      </c>
      <c r="N51" s="3">
        <v>1</v>
      </c>
      <c r="P51" s="3" t="s">
        <v>190</v>
      </c>
      <c r="Q51" s="3">
        <v>0</v>
      </c>
      <c r="R51" s="14" t="s">
        <v>203</v>
      </c>
      <c r="S51" s="14"/>
      <c r="T51" s="14"/>
      <c r="U51" s="21"/>
      <c r="V51" s="2" t="str">
        <f t="shared" si="5"/>
        <v xml:space="preserve">39 =&gt; pf_nxt_1, </v>
      </c>
      <c r="W51" s="2" t="str">
        <f t="shared" si="6"/>
        <v xml:space="preserve">39 =&gt; 0, </v>
      </c>
      <c r="X51" s="2" t="str">
        <f t="shared" si="26"/>
        <v xml:space="preserve">39 =&gt; op_nop, </v>
      </c>
      <c r="Z51" s="16" t="str">
        <f t="shared" si="27"/>
        <v>1 39 INSTRUCTION _XBYTE</v>
      </c>
      <c r="AA51" s="16" t="str">
        <f t="shared" si="28"/>
        <v>," XBYTE"</v>
      </c>
    </row>
    <row r="52" spans="1:27" x14ac:dyDescent="0.2">
      <c r="A52" s="3"/>
      <c r="B52" s="3" t="s">
        <v>117</v>
      </c>
      <c r="D52" s="3">
        <v>0</v>
      </c>
      <c r="E52" s="3">
        <v>0</v>
      </c>
      <c r="F52" s="3">
        <f t="shared" si="29"/>
        <v>40</v>
      </c>
      <c r="H52" s="4">
        <f t="shared" si="23"/>
        <v>40</v>
      </c>
      <c r="I52" s="3" t="str">
        <f t="shared" si="24"/>
        <v>0101000</v>
      </c>
      <c r="J52" s="3" t="str">
        <f t="shared" si="25"/>
        <v>28</v>
      </c>
      <c r="L52" s="5" t="s">
        <v>111</v>
      </c>
      <c r="M52" s="2" t="s">
        <v>118</v>
      </c>
      <c r="N52" s="3">
        <v>1</v>
      </c>
      <c r="P52" s="3" t="s">
        <v>190</v>
      </c>
      <c r="Q52" s="3">
        <v>0</v>
      </c>
      <c r="R52" s="14" t="s">
        <v>203</v>
      </c>
      <c r="S52" s="14"/>
      <c r="T52" s="14"/>
      <c r="U52" s="21"/>
      <c r="V52" s="2" t="str">
        <f t="shared" si="5"/>
        <v xml:space="preserve">40 =&gt; pf_nxt_1, </v>
      </c>
      <c r="W52" s="2" t="str">
        <f t="shared" si="6"/>
        <v xml:space="preserve">40 =&gt; 0, </v>
      </c>
      <c r="X52" s="2" t="str">
        <f t="shared" si="26"/>
        <v xml:space="preserve">40 =&gt; op_nop, </v>
      </c>
      <c r="Z52" s="16" t="str">
        <f t="shared" si="27"/>
        <v>1 40 INSTRUCTION _XWORD</v>
      </c>
      <c r="AA52" s="16" t="str">
        <f t="shared" si="28"/>
        <v>," XWORD"</v>
      </c>
    </row>
    <row r="53" spans="1:27" x14ac:dyDescent="0.2">
      <c r="E53" s="22"/>
      <c r="I53" s="3"/>
      <c r="Z53" s="16"/>
      <c r="AA53" s="16"/>
    </row>
    <row r="54" spans="1:27" x14ac:dyDescent="0.2">
      <c r="A54" s="25" t="s">
        <v>119</v>
      </c>
      <c r="E54" s="22"/>
      <c r="I54" s="3"/>
      <c r="Z54" s="16"/>
      <c r="AA54" s="16"/>
    </row>
    <row r="55" spans="1:27" s="25" customFormat="1" x14ac:dyDescent="0.2">
      <c r="B55" s="26" t="s">
        <v>120</v>
      </c>
      <c r="C55" s="26"/>
      <c r="D55" s="26">
        <v>0</v>
      </c>
      <c r="E55" s="26">
        <v>0</v>
      </c>
      <c r="F55" s="26">
        <f>F52+1</f>
        <v>41</v>
      </c>
      <c r="G55" s="26"/>
      <c r="H55" s="27">
        <f>F55+E55*64+D55*128</f>
        <v>41</v>
      </c>
      <c r="I55" s="3" t="str">
        <f t="shared" ref="I55:I65" si="30">DEC2BIN(H55,7)</f>
        <v>0101001</v>
      </c>
      <c r="J55" s="26" t="str">
        <f>DEC2HEX(H55)</f>
        <v>29</v>
      </c>
      <c r="K55" s="26"/>
      <c r="L55" s="28" t="s">
        <v>121</v>
      </c>
      <c r="M55" s="25" t="s">
        <v>122</v>
      </c>
      <c r="N55" s="26"/>
      <c r="O55" s="29"/>
      <c r="P55" s="3" t="s">
        <v>190</v>
      </c>
      <c r="Q55" s="26">
        <v>4</v>
      </c>
      <c r="R55" s="14" t="s">
        <v>203</v>
      </c>
      <c r="S55" s="26"/>
      <c r="T55" s="26"/>
      <c r="U55" s="26"/>
      <c r="V55" s="2" t="str">
        <f t="shared" si="5"/>
        <v xml:space="preserve">41 =&gt; pf_nxt_1, </v>
      </c>
      <c r="W55" s="2" t="str">
        <f t="shared" si="6"/>
        <v xml:space="preserve">41 =&gt; 4, </v>
      </c>
      <c r="X55" s="2" t="str">
        <f t="shared" ref="X55:X65" si="31">_xlfn.CONCAT($H55, " =&gt; ", R55, ", ")</f>
        <v xml:space="preserve">41 =&gt; op_nop, </v>
      </c>
      <c r="Z55" s="30" t="str">
        <f t="shared" ref="Z55:Z65" si="32">"1 "&amp;H55&amp;" INSTRUCTION _"&amp;B55</f>
        <v>1 41 INSTRUCTION _MULTS</v>
      </c>
      <c r="AA55" s="30" t="str">
        <f t="shared" ref="AA55:AA65" si="33">CHAR(44)&amp;CHAR(34)&amp;CHAR(32)&amp;B55&amp;CHAR(34)</f>
        <v>," MULTS"</v>
      </c>
    </row>
    <row r="56" spans="1:27" s="25" customFormat="1" x14ac:dyDescent="0.2">
      <c r="B56" s="26" t="s">
        <v>123</v>
      </c>
      <c r="C56" s="26"/>
      <c r="D56" s="26">
        <v>0</v>
      </c>
      <c r="E56" s="26">
        <v>0</v>
      </c>
      <c r="F56" s="26">
        <f>F55+1</f>
        <v>42</v>
      </c>
      <c r="G56" s="26"/>
      <c r="H56" s="27">
        <f>F56+E56*64+D56*128</f>
        <v>42</v>
      </c>
      <c r="I56" s="3" t="str">
        <f t="shared" si="30"/>
        <v>0101010</v>
      </c>
      <c r="J56" s="26" t="str">
        <f>DEC2HEX(H56)</f>
        <v>2A</v>
      </c>
      <c r="K56" s="26"/>
      <c r="L56" s="28" t="s">
        <v>124</v>
      </c>
      <c r="M56" s="25" t="s">
        <v>125</v>
      </c>
      <c r="N56" s="26"/>
      <c r="O56" s="29"/>
      <c r="P56" s="3" t="s">
        <v>190</v>
      </c>
      <c r="Q56" s="26">
        <v>4</v>
      </c>
      <c r="R56" s="14" t="s">
        <v>203</v>
      </c>
      <c r="S56" s="26"/>
      <c r="T56" s="26"/>
      <c r="U56" s="26"/>
      <c r="V56" s="2" t="str">
        <f t="shared" si="5"/>
        <v xml:space="preserve">42 =&gt; pf_nxt_1, </v>
      </c>
      <c r="W56" s="2" t="str">
        <f t="shared" si="6"/>
        <v xml:space="preserve">42 =&gt; 4, </v>
      </c>
      <c r="X56" s="2" t="str">
        <f t="shared" si="31"/>
        <v xml:space="preserve">42 =&gt; op_nop, </v>
      </c>
      <c r="Z56" s="30" t="str">
        <f t="shared" si="32"/>
        <v>1 42 INSTRUCTION _MULTU</v>
      </c>
      <c r="AA56" s="30" t="str">
        <f t="shared" si="33"/>
        <v>," MULTU"</v>
      </c>
    </row>
    <row r="57" spans="1:27" s="25" customFormat="1" x14ac:dyDescent="0.2">
      <c r="B57" s="26" t="s">
        <v>126</v>
      </c>
      <c r="C57" s="31"/>
      <c r="D57" s="26">
        <v>0</v>
      </c>
      <c r="E57" s="26">
        <v>0</v>
      </c>
      <c r="F57" s="26">
        <f t="shared" ref="F57:F64" si="34">F56+1</f>
        <v>43</v>
      </c>
      <c r="G57" s="26"/>
      <c r="H57" s="27">
        <f>F57+E57*64+D57*128</f>
        <v>43</v>
      </c>
      <c r="I57" s="3" t="str">
        <f t="shared" si="30"/>
        <v>0101011</v>
      </c>
      <c r="J57" s="26" t="str">
        <f>DEC2HEX(H57)</f>
        <v>2B</v>
      </c>
      <c r="K57" s="31"/>
      <c r="L57" s="28" t="s">
        <v>127</v>
      </c>
      <c r="M57" s="25" t="s">
        <v>128</v>
      </c>
      <c r="N57" s="26"/>
      <c r="O57" s="29"/>
      <c r="P57" s="3" t="s">
        <v>190</v>
      </c>
      <c r="Q57" s="26">
        <v>200</v>
      </c>
      <c r="R57" s="14" t="s">
        <v>203</v>
      </c>
      <c r="S57" s="26"/>
      <c r="T57" s="26"/>
      <c r="U57" s="26"/>
      <c r="V57" s="2" t="str">
        <f t="shared" si="5"/>
        <v xml:space="preserve">43 =&gt; pf_nxt_1, </v>
      </c>
      <c r="W57" s="2" t="str">
        <f t="shared" si="6"/>
        <v xml:space="preserve">43 =&gt; 200, </v>
      </c>
      <c r="X57" s="2" t="str">
        <f t="shared" si="31"/>
        <v xml:space="preserve">43 =&gt; op_nop, </v>
      </c>
      <c r="Z57" s="30" t="str">
        <f t="shared" si="32"/>
        <v>1 43 INSTRUCTION _DIVS</v>
      </c>
      <c r="AA57" s="30" t="str">
        <f t="shared" si="33"/>
        <v>," DIVS"</v>
      </c>
    </row>
    <row r="58" spans="1:27" s="25" customFormat="1" x14ac:dyDescent="0.2">
      <c r="B58" s="26" t="s">
        <v>129</v>
      </c>
      <c r="C58" s="31"/>
      <c r="D58" s="26">
        <v>0</v>
      </c>
      <c r="E58" s="26">
        <v>0</v>
      </c>
      <c r="F58" s="26">
        <f t="shared" si="34"/>
        <v>44</v>
      </c>
      <c r="G58" s="26"/>
      <c r="H58" s="27">
        <f>F58+E58*64+D58*128</f>
        <v>44</v>
      </c>
      <c r="I58" s="3" t="str">
        <f t="shared" si="30"/>
        <v>0101100</v>
      </c>
      <c r="J58" s="26" t="str">
        <f>DEC2HEX(H58)</f>
        <v>2C</v>
      </c>
      <c r="K58" s="31"/>
      <c r="L58" s="28" t="s">
        <v>130</v>
      </c>
      <c r="M58" s="25" t="s">
        <v>131</v>
      </c>
      <c r="N58" s="26"/>
      <c r="O58" s="29"/>
      <c r="P58" s="3" t="s">
        <v>190</v>
      </c>
      <c r="Q58" s="26">
        <v>200</v>
      </c>
      <c r="R58" s="14" t="s">
        <v>203</v>
      </c>
      <c r="S58" s="26"/>
      <c r="T58" s="26"/>
      <c r="U58" s="26"/>
      <c r="V58" s="2" t="str">
        <f t="shared" si="5"/>
        <v xml:space="preserve">44 =&gt; pf_nxt_1, </v>
      </c>
      <c r="W58" s="2" t="str">
        <f t="shared" si="6"/>
        <v xml:space="preserve">44 =&gt; 200, </v>
      </c>
      <c r="X58" s="2" t="str">
        <f t="shared" si="31"/>
        <v xml:space="preserve">44 =&gt; op_nop, </v>
      </c>
      <c r="Z58" s="30" t="str">
        <f t="shared" si="32"/>
        <v>1 44 INSTRUCTION _DIVU</v>
      </c>
      <c r="AA58" s="30" t="str">
        <f t="shared" si="33"/>
        <v>," DIVU"</v>
      </c>
    </row>
    <row r="59" spans="1:27" s="25" customFormat="1" x14ac:dyDescent="0.2">
      <c r="B59" s="26" t="s">
        <v>132</v>
      </c>
      <c r="C59" s="26"/>
      <c r="D59" s="26">
        <v>0</v>
      </c>
      <c r="E59" s="26">
        <v>0</v>
      </c>
      <c r="F59" s="26">
        <f t="shared" si="34"/>
        <v>45</v>
      </c>
      <c r="G59" s="26"/>
      <c r="H59" s="27">
        <f t="shared" ref="H59:H64" si="35">F59+E59*64+D59*128</f>
        <v>45</v>
      </c>
      <c r="I59" s="3" t="str">
        <f t="shared" si="30"/>
        <v>0101101</v>
      </c>
      <c r="J59" s="26" t="str">
        <f t="shared" ref="J59:J64" si="36">DEC2HEX(H59)</f>
        <v>2D</v>
      </c>
      <c r="K59" s="26"/>
      <c r="L59" s="28" t="s">
        <v>133</v>
      </c>
      <c r="M59" s="25" t="s">
        <v>134</v>
      </c>
      <c r="N59" s="26"/>
      <c r="O59" s="29"/>
      <c r="P59" s="3" t="s">
        <v>190</v>
      </c>
      <c r="Q59" s="26">
        <v>1</v>
      </c>
      <c r="R59" s="14" t="s">
        <v>203</v>
      </c>
      <c r="S59" s="26"/>
      <c r="T59" s="26"/>
      <c r="U59" s="26"/>
      <c r="V59" s="2" t="str">
        <f t="shared" si="5"/>
        <v xml:space="preserve">45 =&gt; pf_nxt_1, </v>
      </c>
      <c r="W59" s="2" t="str">
        <f t="shared" si="6"/>
        <v xml:space="preserve">45 =&gt; 1, </v>
      </c>
      <c r="X59" s="2" t="str">
        <f t="shared" si="31"/>
        <v xml:space="preserve">45 =&gt; op_nop, </v>
      </c>
      <c r="Z59" s="30" t="str">
        <f t="shared" si="32"/>
        <v>1 45 INSTRUCTION _FETCH.L</v>
      </c>
      <c r="AA59" s="30" t="str">
        <f t="shared" si="33"/>
        <v>," FETCH.L"</v>
      </c>
    </row>
    <row r="60" spans="1:27" s="25" customFormat="1" x14ac:dyDescent="0.2">
      <c r="B60" s="26" t="s">
        <v>135</v>
      </c>
      <c r="C60" s="26"/>
      <c r="D60" s="26">
        <v>0</v>
      </c>
      <c r="E60" s="26">
        <v>0</v>
      </c>
      <c r="F60" s="26">
        <f t="shared" si="34"/>
        <v>46</v>
      </c>
      <c r="G60" s="26"/>
      <c r="H60" s="27">
        <f t="shared" si="35"/>
        <v>46</v>
      </c>
      <c r="I60" s="3" t="str">
        <f t="shared" si="30"/>
        <v>0101110</v>
      </c>
      <c r="J60" s="26" t="str">
        <f t="shared" si="36"/>
        <v>2E</v>
      </c>
      <c r="K60" s="26"/>
      <c r="L60" s="28" t="s">
        <v>136</v>
      </c>
      <c r="M60" s="25" t="s">
        <v>137</v>
      </c>
      <c r="N60" s="26"/>
      <c r="O60" s="29"/>
      <c r="P60" s="3" t="s">
        <v>190</v>
      </c>
      <c r="Q60" s="26">
        <v>1</v>
      </c>
      <c r="R60" s="14" t="s">
        <v>203</v>
      </c>
      <c r="S60" s="26"/>
      <c r="T60" s="26"/>
      <c r="U60" s="26"/>
      <c r="V60" s="2" t="str">
        <f t="shared" si="5"/>
        <v xml:space="preserve">46 =&gt; pf_nxt_1, </v>
      </c>
      <c r="W60" s="2" t="str">
        <f t="shared" si="6"/>
        <v xml:space="preserve">46 =&gt; 1, </v>
      </c>
      <c r="X60" s="2" t="str">
        <f t="shared" si="31"/>
        <v xml:space="preserve">46 =&gt; op_nop, </v>
      </c>
      <c r="Z60" s="30" t="str">
        <f t="shared" si="32"/>
        <v>1 46 INSTRUCTION _STORE.L</v>
      </c>
      <c r="AA60" s="30" t="str">
        <f t="shared" si="33"/>
        <v>," STORE.L"</v>
      </c>
    </row>
    <row r="61" spans="1:27" s="25" customFormat="1" x14ac:dyDescent="0.2">
      <c r="B61" s="26" t="s">
        <v>138</v>
      </c>
      <c r="C61" s="26"/>
      <c r="D61" s="26">
        <v>0</v>
      </c>
      <c r="E61" s="26">
        <v>0</v>
      </c>
      <c r="F61" s="26">
        <f t="shared" si="34"/>
        <v>47</v>
      </c>
      <c r="G61" s="26"/>
      <c r="H61" s="27">
        <f t="shared" si="35"/>
        <v>47</v>
      </c>
      <c r="I61" s="3" t="str">
        <f t="shared" si="30"/>
        <v>0101111</v>
      </c>
      <c r="J61" s="26" t="str">
        <f t="shared" si="36"/>
        <v>2F</v>
      </c>
      <c r="K61" s="26"/>
      <c r="L61" s="28" t="s">
        <v>139</v>
      </c>
      <c r="M61" s="25" t="s">
        <v>140</v>
      </c>
      <c r="N61" s="26"/>
      <c r="O61" s="29"/>
      <c r="P61" s="3" t="s">
        <v>190</v>
      </c>
      <c r="Q61" s="26">
        <v>1</v>
      </c>
      <c r="R61" s="14" t="s">
        <v>203</v>
      </c>
      <c r="S61" s="26"/>
      <c r="T61" s="26"/>
      <c r="U61" s="26"/>
      <c r="V61" s="2" t="str">
        <f t="shared" si="5"/>
        <v xml:space="preserve">47 =&gt; pf_nxt_1, </v>
      </c>
      <c r="W61" s="2" t="str">
        <f t="shared" si="6"/>
        <v xml:space="preserve">47 =&gt; 1, </v>
      </c>
      <c r="X61" s="2" t="str">
        <f t="shared" si="31"/>
        <v xml:space="preserve">47 =&gt; op_nop, </v>
      </c>
      <c r="Z61" s="30" t="str">
        <f t="shared" si="32"/>
        <v>1 47 INSTRUCTION _FETCH.W</v>
      </c>
      <c r="AA61" s="30" t="str">
        <f t="shared" si="33"/>
        <v>," FETCH.W"</v>
      </c>
    </row>
    <row r="62" spans="1:27" s="25" customFormat="1" x14ac:dyDescent="0.2">
      <c r="B62" s="26" t="s">
        <v>141</v>
      </c>
      <c r="C62" s="26"/>
      <c r="D62" s="26">
        <v>0</v>
      </c>
      <c r="E62" s="26">
        <v>0</v>
      </c>
      <c r="F62" s="26">
        <f t="shared" si="34"/>
        <v>48</v>
      </c>
      <c r="G62" s="26"/>
      <c r="H62" s="27">
        <f t="shared" si="35"/>
        <v>48</v>
      </c>
      <c r="I62" s="3" t="str">
        <f t="shared" si="30"/>
        <v>0110000</v>
      </c>
      <c r="J62" s="26" t="str">
        <f t="shared" si="36"/>
        <v>30</v>
      </c>
      <c r="K62" s="26"/>
      <c r="L62" s="28" t="s">
        <v>142</v>
      </c>
      <c r="M62" s="25" t="s">
        <v>143</v>
      </c>
      <c r="N62" s="26"/>
      <c r="O62" s="29"/>
      <c r="P62" s="3" t="s">
        <v>190</v>
      </c>
      <c r="Q62" s="26">
        <v>1</v>
      </c>
      <c r="R62" s="14" t="s">
        <v>203</v>
      </c>
      <c r="S62" s="26"/>
      <c r="T62" s="26"/>
      <c r="U62" s="26"/>
      <c r="V62" s="2" t="str">
        <f t="shared" si="5"/>
        <v xml:space="preserve">48 =&gt; pf_nxt_1, </v>
      </c>
      <c r="W62" s="2" t="str">
        <f t="shared" si="6"/>
        <v xml:space="preserve">48 =&gt; 1, </v>
      </c>
      <c r="X62" s="2" t="str">
        <f t="shared" si="31"/>
        <v xml:space="preserve">48 =&gt; op_nop, </v>
      </c>
      <c r="Z62" s="30" t="str">
        <f t="shared" si="32"/>
        <v>1 48 INSTRUCTION _STORE.W</v>
      </c>
      <c r="AA62" s="30" t="str">
        <f t="shared" si="33"/>
        <v>," STORE.W"</v>
      </c>
    </row>
    <row r="63" spans="1:27" s="25" customFormat="1" x14ac:dyDescent="0.2">
      <c r="B63" s="26" t="s">
        <v>144</v>
      </c>
      <c r="C63" s="26"/>
      <c r="D63" s="26">
        <v>0</v>
      </c>
      <c r="E63" s="26">
        <v>0</v>
      </c>
      <c r="F63" s="26">
        <f t="shared" si="34"/>
        <v>49</v>
      </c>
      <c r="G63" s="26"/>
      <c r="H63" s="27">
        <f t="shared" si="35"/>
        <v>49</v>
      </c>
      <c r="I63" s="3" t="str">
        <f t="shared" si="30"/>
        <v>0110001</v>
      </c>
      <c r="J63" s="26" t="str">
        <f t="shared" si="36"/>
        <v>31</v>
      </c>
      <c r="K63" s="26"/>
      <c r="L63" s="28" t="s">
        <v>145</v>
      </c>
      <c r="M63" s="25" t="s">
        <v>146</v>
      </c>
      <c r="N63" s="26"/>
      <c r="O63" s="29"/>
      <c r="P63" s="3" t="s">
        <v>190</v>
      </c>
      <c r="Q63" s="26">
        <v>1</v>
      </c>
      <c r="R63" s="14" t="s">
        <v>203</v>
      </c>
      <c r="S63" s="26"/>
      <c r="T63" s="26"/>
      <c r="U63" s="26"/>
      <c r="V63" s="2" t="str">
        <f t="shared" si="5"/>
        <v xml:space="preserve">49 =&gt; pf_nxt_1, </v>
      </c>
      <c r="W63" s="2" t="str">
        <f t="shared" si="6"/>
        <v xml:space="preserve">49 =&gt; 1, </v>
      </c>
      <c r="X63" s="2" t="str">
        <f t="shared" si="31"/>
        <v xml:space="preserve">49 =&gt; op_nop, </v>
      </c>
      <c r="Z63" s="30" t="str">
        <f t="shared" si="32"/>
        <v>1 49 INSTRUCTION _FETCH.B</v>
      </c>
      <c r="AA63" s="30" t="str">
        <f t="shared" si="33"/>
        <v>," FETCH.B"</v>
      </c>
    </row>
    <row r="64" spans="1:27" s="25" customFormat="1" x14ac:dyDescent="0.2">
      <c r="B64" s="26" t="s">
        <v>147</v>
      </c>
      <c r="C64" s="26"/>
      <c r="D64" s="26">
        <v>0</v>
      </c>
      <c r="E64" s="26">
        <v>0</v>
      </c>
      <c r="F64" s="26">
        <f t="shared" si="34"/>
        <v>50</v>
      </c>
      <c r="G64" s="26"/>
      <c r="H64" s="27">
        <f t="shared" si="35"/>
        <v>50</v>
      </c>
      <c r="I64" s="3" t="str">
        <f t="shared" si="30"/>
        <v>0110010</v>
      </c>
      <c r="J64" s="26" t="str">
        <f t="shared" si="36"/>
        <v>32</v>
      </c>
      <c r="K64" s="26"/>
      <c r="L64" s="28" t="s">
        <v>148</v>
      </c>
      <c r="M64" s="25" t="s">
        <v>149</v>
      </c>
      <c r="N64" s="26"/>
      <c r="O64" s="29"/>
      <c r="P64" s="3" t="s">
        <v>190</v>
      </c>
      <c r="Q64" s="26">
        <v>1</v>
      </c>
      <c r="R64" s="14" t="s">
        <v>203</v>
      </c>
      <c r="S64" s="26"/>
      <c r="T64" s="26"/>
      <c r="U64" s="26"/>
      <c r="V64" s="2" t="str">
        <f t="shared" si="5"/>
        <v xml:space="preserve">50 =&gt; pf_nxt_1, </v>
      </c>
      <c r="W64" s="2" t="str">
        <f t="shared" si="6"/>
        <v xml:space="preserve">50 =&gt; 1, </v>
      </c>
      <c r="X64" s="2" t="str">
        <f t="shared" si="31"/>
        <v xml:space="preserve">50 =&gt; op_nop, </v>
      </c>
      <c r="Z64" s="30" t="str">
        <f t="shared" si="32"/>
        <v>1 50 INSTRUCTION _STORE.B</v>
      </c>
      <c r="AA64" s="30" t="str">
        <f t="shared" si="33"/>
        <v>," STORE.B"</v>
      </c>
    </row>
    <row r="65" spans="1:27" s="25" customFormat="1" x14ac:dyDescent="0.2">
      <c r="B65" s="26" t="s">
        <v>177</v>
      </c>
      <c r="C65" s="26"/>
      <c r="D65" s="26">
        <v>0</v>
      </c>
      <c r="E65" s="26">
        <v>0</v>
      </c>
      <c r="F65" s="26">
        <f>F64+1</f>
        <v>51</v>
      </c>
      <c r="G65" s="26"/>
      <c r="H65" s="27">
        <f>F65+E65*64+D65*128</f>
        <v>51</v>
      </c>
      <c r="I65" s="3" t="str">
        <f t="shared" si="30"/>
        <v>0110011</v>
      </c>
      <c r="J65" s="26" t="str">
        <f>DEC2HEX(H65)</f>
        <v>33</v>
      </c>
      <c r="K65" s="26"/>
      <c r="L65" s="28" t="s">
        <v>150</v>
      </c>
      <c r="M65" s="25" t="s">
        <v>151</v>
      </c>
      <c r="N65" s="26">
        <v>2</v>
      </c>
      <c r="O65" s="29"/>
      <c r="P65" s="3" t="s">
        <v>190</v>
      </c>
      <c r="Q65" s="26">
        <v>0</v>
      </c>
      <c r="R65" s="14" t="s">
        <v>203</v>
      </c>
      <c r="S65" s="26"/>
      <c r="T65" s="26"/>
      <c r="U65" s="26"/>
      <c r="V65" s="2" t="str">
        <f t="shared" si="5"/>
        <v xml:space="preserve">51 =&gt; pf_nxt_1, </v>
      </c>
      <c r="W65" s="2" t="str">
        <f t="shared" si="6"/>
        <v xml:space="preserve">51 =&gt; 0, </v>
      </c>
      <c r="X65" s="2" t="str">
        <f t="shared" si="31"/>
        <v xml:space="preserve">51 =&gt; op_nop, </v>
      </c>
      <c r="Z65" s="30" t="str">
        <f t="shared" si="32"/>
        <v>1 51 INSTRUCTION _UNUSED</v>
      </c>
      <c r="AA65" s="30" t="str">
        <f t="shared" si="33"/>
        <v>," UNUSED"</v>
      </c>
    </row>
    <row r="66" spans="1:27" s="32" customFormat="1" x14ac:dyDescent="0.2">
      <c r="B66" s="33"/>
      <c r="C66" s="33"/>
      <c r="D66" s="33"/>
      <c r="E66" s="33"/>
      <c r="F66" s="33"/>
      <c r="G66" s="33"/>
      <c r="H66" s="34"/>
      <c r="I66" s="3"/>
      <c r="J66" s="33"/>
      <c r="K66" s="33"/>
      <c r="L66" s="35"/>
      <c r="N66" s="33"/>
      <c r="O66" s="36"/>
      <c r="P66" s="36"/>
      <c r="Q66" s="36"/>
      <c r="R66" s="33"/>
      <c r="V66" s="2"/>
      <c r="W66" s="2"/>
      <c r="Z66" s="16"/>
      <c r="AA66" s="37"/>
    </row>
    <row r="67" spans="1:27" s="32" customFormat="1" x14ac:dyDescent="0.2">
      <c r="A67" s="38" t="s">
        <v>152</v>
      </c>
      <c r="B67" s="33"/>
      <c r="C67" s="33"/>
      <c r="D67" s="33"/>
      <c r="E67" s="33"/>
      <c r="F67" s="33"/>
      <c r="G67" s="33"/>
      <c r="H67" s="34"/>
      <c r="I67" s="3"/>
      <c r="J67" s="33"/>
      <c r="K67" s="33"/>
      <c r="L67" s="35"/>
      <c r="N67" s="33"/>
      <c r="O67" s="36"/>
      <c r="P67" s="36"/>
      <c r="Q67" s="36"/>
      <c r="R67" s="33"/>
      <c r="V67" s="2"/>
      <c r="W67" s="2"/>
      <c r="Z67" s="16"/>
      <c r="AA67" s="37"/>
    </row>
    <row r="68" spans="1:27" s="39" customFormat="1" x14ac:dyDescent="0.2">
      <c r="B68" s="40" t="s">
        <v>153</v>
      </c>
      <c r="C68" s="40"/>
      <c r="D68" s="40">
        <v>0</v>
      </c>
      <c r="E68" s="41">
        <v>0</v>
      </c>
      <c r="F68" s="40">
        <f>F65+1</f>
        <v>52</v>
      </c>
      <c r="G68" s="40"/>
      <c r="H68" s="42">
        <f t="shared" ref="H68:H77" si="37">F68+E68*64+D68*128</f>
        <v>52</v>
      </c>
      <c r="I68" s="3" t="str">
        <f t="shared" ref="I68:I77" si="38">DEC2BIN(H68,7)</f>
        <v>0110100</v>
      </c>
      <c r="J68" s="40" t="str">
        <f t="shared" ref="J68:J77" si="39">DEC2HEX(H68)</f>
        <v>34</v>
      </c>
      <c r="K68" s="40"/>
      <c r="L68" s="43" t="s">
        <v>154</v>
      </c>
      <c r="M68" s="39" t="s">
        <v>155</v>
      </c>
      <c r="N68" s="40"/>
      <c r="O68" s="38"/>
      <c r="P68" s="3" t="s">
        <v>191</v>
      </c>
      <c r="Q68" s="40">
        <v>0</v>
      </c>
      <c r="R68" s="14" t="s">
        <v>203</v>
      </c>
      <c r="S68" s="40"/>
      <c r="T68" s="40"/>
      <c r="U68" s="40"/>
      <c r="V68" s="2" t="str">
        <f t="shared" si="5"/>
        <v xml:space="preserve">52 =&gt; pf_nxt_2, </v>
      </c>
      <c r="W68" s="2" t="str">
        <f t="shared" si="6"/>
        <v xml:space="preserve">52 =&gt; 0, </v>
      </c>
      <c r="X68" s="2" t="str">
        <f t="shared" ref="X68:X77" si="40">_xlfn.CONCAT($H68, " =&gt; ", R68, ", ")</f>
        <v xml:space="preserve">52 =&gt; op_nop, </v>
      </c>
      <c r="Z68" s="44" t="str">
        <f t="shared" ref="Z68:Z77" si="41">"1 "&amp;H68&amp;" INSTRUCTION _"&amp;B68</f>
        <v>1 52 INSTRUCTION _#.B</v>
      </c>
      <c r="AA68" s="44" t="str">
        <f>CHAR(44)&amp;CHAR(34)&amp;CHAR(32)&amp;B68&amp;CHAR(34)</f>
        <v>," #.B"</v>
      </c>
    </row>
    <row r="69" spans="1:27" s="39" customFormat="1" x14ac:dyDescent="0.2">
      <c r="B69" s="40" t="s">
        <v>156</v>
      </c>
      <c r="C69" s="40"/>
      <c r="D69" s="40">
        <v>0</v>
      </c>
      <c r="E69" s="41">
        <v>0</v>
      </c>
      <c r="F69" s="40">
        <f t="shared" ref="F69:F77" si="42">F68+1</f>
        <v>53</v>
      </c>
      <c r="G69" s="40"/>
      <c r="H69" s="42">
        <f t="shared" si="37"/>
        <v>53</v>
      </c>
      <c r="I69" s="3" t="str">
        <f t="shared" si="38"/>
        <v>0110101</v>
      </c>
      <c r="J69" s="40" t="str">
        <f t="shared" si="39"/>
        <v>35</v>
      </c>
      <c r="K69" s="40"/>
      <c r="L69" s="43" t="s">
        <v>154</v>
      </c>
      <c r="M69" s="39" t="s">
        <v>157</v>
      </c>
      <c r="N69" s="40"/>
      <c r="O69" s="38"/>
      <c r="P69" s="3" t="s">
        <v>192</v>
      </c>
      <c r="Q69" s="40">
        <v>0</v>
      </c>
      <c r="R69" s="14" t="s">
        <v>203</v>
      </c>
      <c r="S69" s="40"/>
      <c r="T69" s="40"/>
      <c r="U69" s="40"/>
      <c r="V69" s="2" t="str">
        <f t="shared" si="5"/>
        <v xml:space="preserve">53 =&gt; pf_nxt_3, </v>
      </c>
      <c r="W69" s="2" t="str">
        <f t="shared" si="6"/>
        <v xml:space="preserve">53 =&gt; 0, </v>
      </c>
      <c r="X69" s="2" t="str">
        <f t="shared" si="40"/>
        <v xml:space="preserve">53 =&gt; op_nop, </v>
      </c>
      <c r="Z69" s="44" t="str">
        <f t="shared" si="41"/>
        <v>1 53 INSTRUCTION _#.W</v>
      </c>
      <c r="AA69" s="44" t="str">
        <f>CHAR(44)&amp;CHAR(34)&amp;CHAR(32)&amp;B69&amp;CHAR(34)</f>
        <v>," #.W"</v>
      </c>
    </row>
    <row r="70" spans="1:27" s="39" customFormat="1" x14ac:dyDescent="0.2">
      <c r="B70" s="40" t="s">
        <v>158</v>
      </c>
      <c r="C70" s="40"/>
      <c r="D70" s="40">
        <v>0</v>
      </c>
      <c r="E70" s="41">
        <v>0</v>
      </c>
      <c r="F70" s="40">
        <f t="shared" si="42"/>
        <v>54</v>
      </c>
      <c r="G70" s="40"/>
      <c r="H70" s="42">
        <f t="shared" si="37"/>
        <v>54</v>
      </c>
      <c r="I70" s="3" t="str">
        <f t="shared" si="38"/>
        <v>0110110</v>
      </c>
      <c r="J70" s="40" t="str">
        <f t="shared" si="39"/>
        <v>36</v>
      </c>
      <c r="K70" s="40"/>
      <c r="L70" s="43" t="s">
        <v>159</v>
      </c>
      <c r="M70" s="39" t="s">
        <v>160</v>
      </c>
      <c r="N70" s="40"/>
      <c r="O70" s="38"/>
      <c r="P70" s="3" t="s">
        <v>193</v>
      </c>
      <c r="Q70" s="40">
        <v>0</v>
      </c>
      <c r="R70" s="14" t="s">
        <v>203</v>
      </c>
      <c r="S70" s="40"/>
      <c r="T70" s="40"/>
      <c r="U70" s="40"/>
      <c r="V70" s="2" t="str">
        <f t="shared" si="5"/>
        <v xml:space="preserve">54 =&gt; pf_nxt_5, </v>
      </c>
      <c r="W70" s="2" t="str">
        <f t="shared" si="6"/>
        <v xml:space="preserve">54 =&gt; 0, </v>
      </c>
      <c r="X70" s="2" t="str">
        <f t="shared" si="40"/>
        <v xml:space="preserve">54 =&gt; op_nop, </v>
      </c>
      <c r="Z70" s="44" t="str">
        <f t="shared" si="41"/>
        <v>1 54 INSTRUCTION _#.L</v>
      </c>
      <c r="AA70" s="44" t="str">
        <f>CHAR(44)&amp;CHAR(34)&amp;CHAR(32)&amp;B70&amp;CHAR(34)</f>
        <v>," #.L"</v>
      </c>
    </row>
    <row r="71" spans="1:27" s="39" customFormat="1" x14ac:dyDescent="0.2">
      <c r="B71" s="40" t="s">
        <v>161</v>
      </c>
      <c r="C71" s="40"/>
      <c r="D71" s="40">
        <v>0</v>
      </c>
      <c r="E71" s="40">
        <v>0</v>
      </c>
      <c r="F71" s="40">
        <f t="shared" si="42"/>
        <v>55</v>
      </c>
      <c r="G71" s="40"/>
      <c r="H71" s="42">
        <f t="shared" si="37"/>
        <v>55</v>
      </c>
      <c r="I71" s="3" t="str">
        <f t="shared" si="38"/>
        <v>0110111</v>
      </c>
      <c r="J71" s="40" t="str">
        <f t="shared" si="39"/>
        <v>37</v>
      </c>
      <c r="K71" s="40"/>
      <c r="L71" s="43" t="s">
        <v>162</v>
      </c>
      <c r="M71" s="39" t="s">
        <v>163</v>
      </c>
      <c r="N71" s="40"/>
      <c r="O71" s="38"/>
      <c r="P71" s="40" t="s">
        <v>194</v>
      </c>
      <c r="Q71" s="40">
        <v>0</v>
      </c>
      <c r="R71" s="14" t="s">
        <v>203</v>
      </c>
      <c r="S71" s="40"/>
      <c r="T71" s="40"/>
      <c r="U71" s="40"/>
      <c r="V71" s="2" t="str">
        <f t="shared" ref="V71:V81" si="43">_xlfn.CONCAT(H71, " =&gt; ", P71, ", ")</f>
        <v xml:space="preserve">55 =&gt; pf_jmp, </v>
      </c>
      <c r="W71" s="2" t="str">
        <f t="shared" ref="W71:W81" si="44">_xlfn.CONCAT(H71, " =&gt; ", Q71, ", ")</f>
        <v xml:space="preserve">55 =&gt; 0, </v>
      </c>
      <c r="X71" s="2" t="str">
        <f t="shared" si="40"/>
        <v xml:space="preserve">55 =&gt; op_nop, </v>
      </c>
      <c r="Z71" s="44" t="str">
        <f t="shared" si="41"/>
        <v>1 55 INSTRUCTION _JMP</v>
      </c>
      <c r="AA71" s="44" t="str">
        <f>CHAR(44)&amp;CHAR(34)&amp;CHAR(32)&amp;B71&amp;CHAR(34)</f>
        <v>," JMP"</v>
      </c>
    </row>
    <row r="72" spans="1:27" s="39" customFormat="1" x14ac:dyDescent="0.2">
      <c r="B72" s="40" t="s">
        <v>164</v>
      </c>
      <c r="C72" s="40"/>
      <c r="D72" s="40">
        <v>0</v>
      </c>
      <c r="E72" s="40">
        <v>0</v>
      </c>
      <c r="F72" s="40">
        <f t="shared" si="42"/>
        <v>56</v>
      </c>
      <c r="G72" s="40"/>
      <c r="H72" s="42">
        <f t="shared" si="37"/>
        <v>56</v>
      </c>
      <c r="I72" s="3" t="str">
        <f t="shared" si="38"/>
        <v>0111000</v>
      </c>
      <c r="J72" s="40" t="str">
        <f t="shared" si="39"/>
        <v>38</v>
      </c>
      <c r="K72" s="40"/>
      <c r="L72" s="43" t="s">
        <v>165</v>
      </c>
      <c r="M72" s="39" t="s">
        <v>166</v>
      </c>
      <c r="N72" s="40"/>
      <c r="O72" s="38"/>
      <c r="P72" s="40" t="s">
        <v>195</v>
      </c>
      <c r="Q72" s="40">
        <v>0</v>
      </c>
      <c r="R72" s="14" t="s">
        <v>208</v>
      </c>
      <c r="S72" s="40"/>
      <c r="T72" s="40"/>
      <c r="U72" s="40"/>
      <c r="V72" s="2" t="str">
        <f t="shared" si="43"/>
        <v xml:space="preserve">56 =&gt; pf_jsl, </v>
      </c>
      <c r="W72" s="2" t="str">
        <f t="shared" si="44"/>
        <v xml:space="preserve">56 =&gt; 0, </v>
      </c>
      <c r="X72" s="2" t="str">
        <f t="shared" si="40"/>
        <v xml:space="preserve">56 =&gt; op_psh, </v>
      </c>
      <c r="Z72" s="44" t="str">
        <f t="shared" si="41"/>
        <v>1 56 INSTRUCTION _JSL</v>
      </c>
      <c r="AA72" s="44" t="s">
        <v>167</v>
      </c>
    </row>
    <row r="73" spans="1:27" s="39" customFormat="1" x14ac:dyDescent="0.2">
      <c r="B73" s="40" t="s">
        <v>168</v>
      </c>
      <c r="C73" s="40"/>
      <c r="D73" s="40">
        <v>0</v>
      </c>
      <c r="E73" s="40">
        <v>0</v>
      </c>
      <c r="F73" s="40">
        <f t="shared" si="42"/>
        <v>57</v>
      </c>
      <c r="G73" s="40"/>
      <c r="H73" s="42">
        <f t="shared" si="37"/>
        <v>57</v>
      </c>
      <c r="I73" s="3" t="str">
        <f t="shared" si="38"/>
        <v>0111001</v>
      </c>
      <c r="J73" s="40" t="str">
        <f t="shared" si="39"/>
        <v>39</v>
      </c>
      <c r="K73" s="40"/>
      <c r="L73" s="45" t="s">
        <v>169</v>
      </c>
      <c r="M73" s="39" t="s">
        <v>170</v>
      </c>
      <c r="N73" s="40"/>
      <c r="O73" s="38"/>
      <c r="P73" s="40" t="s">
        <v>196</v>
      </c>
      <c r="Q73" s="40">
        <v>0</v>
      </c>
      <c r="R73" s="14" t="s">
        <v>208</v>
      </c>
      <c r="S73" s="40"/>
      <c r="T73" s="40"/>
      <c r="U73" s="40"/>
      <c r="V73" s="2" t="str">
        <f t="shared" si="43"/>
        <v xml:space="preserve">57 =&gt; pf_jsr, </v>
      </c>
      <c r="W73" s="2" t="str">
        <f t="shared" si="44"/>
        <v xml:space="preserve">57 =&gt; 0, </v>
      </c>
      <c r="X73" s="2" t="str">
        <f t="shared" si="40"/>
        <v xml:space="preserve">57 =&gt; op_psh, </v>
      </c>
      <c r="Z73" s="44" t="str">
        <f t="shared" si="41"/>
        <v>1 57 INSTRUCTION _JSR</v>
      </c>
      <c r="AA73" s="44" t="str">
        <f>CHAR(44)&amp;CHAR(34)&amp;CHAR(32)&amp;B73&amp;CHAR(34)</f>
        <v>," JSR"</v>
      </c>
    </row>
    <row r="74" spans="1:27" s="39" customFormat="1" x14ac:dyDescent="0.2">
      <c r="B74" s="40" t="s">
        <v>177</v>
      </c>
      <c r="C74" s="40"/>
      <c r="D74" s="40">
        <v>0</v>
      </c>
      <c r="E74" s="40">
        <v>0</v>
      </c>
      <c r="F74" s="40">
        <f t="shared" si="42"/>
        <v>58</v>
      </c>
      <c r="G74" s="40"/>
      <c r="H74" s="42">
        <f t="shared" si="37"/>
        <v>58</v>
      </c>
      <c r="I74" s="3" t="str">
        <f t="shared" si="38"/>
        <v>0111010</v>
      </c>
      <c r="J74" s="40" t="str">
        <f t="shared" si="39"/>
        <v>3A</v>
      </c>
      <c r="K74" s="40"/>
      <c r="L74" s="43" t="s">
        <v>16</v>
      </c>
      <c r="M74" s="39" t="s">
        <v>171</v>
      </c>
      <c r="N74" s="40"/>
      <c r="O74" s="38"/>
      <c r="P74" s="3" t="s">
        <v>190</v>
      </c>
      <c r="Q74" s="3">
        <v>0</v>
      </c>
      <c r="R74" s="14" t="s">
        <v>203</v>
      </c>
      <c r="S74" s="40"/>
      <c r="T74" s="40"/>
      <c r="U74" s="40"/>
      <c r="V74" s="2" t="str">
        <f t="shared" si="43"/>
        <v xml:space="preserve">58 =&gt; pf_nxt_1, </v>
      </c>
      <c r="W74" s="2" t="str">
        <f t="shared" si="44"/>
        <v xml:space="preserve">58 =&gt; 0, </v>
      </c>
      <c r="X74" s="2" t="str">
        <f t="shared" si="40"/>
        <v xml:space="preserve">58 =&gt; op_nop, </v>
      </c>
      <c r="Z74" s="44" t="str">
        <f t="shared" si="41"/>
        <v>1 58 INSTRUCTION _UNUSED</v>
      </c>
      <c r="AA74" s="44" t="str">
        <f>CHAR(44)&amp;CHAR(34)&amp;CHAR(32)&amp;B74&amp;CHAR(34)</f>
        <v>," UNUSED"</v>
      </c>
    </row>
    <row r="75" spans="1:27" s="39" customFormat="1" x14ac:dyDescent="0.2">
      <c r="B75" s="40" t="s">
        <v>177</v>
      </c>
      <c r="C75" s="40"/>
      <c r="D75" s="40">
        <v>0</v>
      </c>
      <c r="E75" s="40">
        <v>0</v>
      </c>
      <c r="F75" s="40">
        <f t="shared" si="42"/>
        <v>59</v>
      </c>
      <c r="G75" s="40"/>
      <c r="H75" s="42">
        <f t="shared" si="37"/>
        <v>59</v>
      </c>
      <c r="I75" s="3" t="str">
        <f t="shared" si="38"/>
        <v>0111011</v>
      </c>
      <c r="J75" s="40" t="str">
        <f t="shared" si="39"/>
        <v>3B</v>
      </c>
      <c r="K75" s="40"/>
      <c r="L75" s="43" t="s">
        <v>16</v>
      </c>
      <c r="M75" s="39" t="s">
        <v>172</v>
      </c>
      <c r="N75" s="40"/>
      <c r="O75" s="38"/>
      <c r="P75" s="3" t="s">
        <v>190</v>
      </c>
      <c r="Q75" s="3">
        <v>0</v>
      </c>
      <c r="R75" s="14" t="s">
        <v>203</v>
      </c>
      <c r="S75" s="40"/>
      <c r="T75" s="40"/>
      <c r="U75" s="40"/>
      <c r="V75" s="2" t="str">
        <f t="shared" si="43"/>
        <v xml:space="preserve">59 =&gt; pf_nxt_1, </v>
      </c>
      <c r="W75" s="2" t="str">
        <f t="shared" si="44"/>
        <v xml:space="preserve">59 =&gt; 0, </v>
      </c>
      <c r="X75" s="2" t="str">
        <f t="shared" si="40"/>
        <v xml:space="preserve">59 =&gt; op_nop, </v>
      </c>
      <c r="Z75" s="44" t="str">
        <f t="shared" si="41"/>
        <v>1 59 INSTRUCTION _UNUSED</v>
      </c>
      <c r="AA75" s="44" t="str">
        <f>CHAR(44)&amp;CHAR(34)&amp;CHAR(32)&amp;B75&amp;CHAR(34)</f>
        <v>," UNUSED"</v>
      </c>
    </row>
    <row r="76" spans="1:27" s="39" customFormat="1" x14ac:dyDescent="0.2">
      <c r="B76" s="40" t="s">
        <v>177</v>
      </c>
      <c r="C76" s="40"/>
      <c r="D76" s="40">
        <v>0</v>
      </c>
      <c r="E76" s="40">
        <v>0</v>
      </c>
      <c r="F76" s="40">
        <f t="shared" si="42"/>
        <v>60</v>
      </c>
      <c r="G76" s="40"/>
      <c r="H76" s="42">
        <f t="shared" si="37"/>
        <v>60</v>
      </c>
      <c r="I76" s="3" t="str">
        <f t="shared" si="38"/>
        <v>0111100</v>
      </c>
      <c r="J76" s="40" t="str">
        <f t="shared" si="39"/>
        <v>3C</v>
      </c>
      <c r="K76" s="40"/>
      <c r="L76" s="43" t="s">
        <v>16</v>
      </c>
      <c r="M76" s="39" t="s">
        <v>173</v>
      </c>
      <c r="N76" s="40"/>
      <c r="O76" s="38"/>
      <c r="P76" s="3" t="s">
        <v>190</v>
      </c>
      <c r="Q76" s="3">
        <v>0</v>
      </c>
      <c r="R76" s="14" t="s">
        <v>203</v>
      </c>
      <c r="S76" s="40"/>
      <c r="T76" s="40"/>
      <c r="U76" s="40"/>
      <c r="V76" s="2" t="str">
        <f t="shared" si="43"/>
        <v xml:space="preserve">60 =&gt; pf_nxt_1, </v>
      </c>
      <c r="W76" s="2" t="str">
        <f t="shared" si="44"/>
        <v xml:space="preserve">60 =&gt; 0, </v>
      </c>
      <c r="X76" s="2" t="str">
        <f t="shared" si="40"/>
        <v xml:space="preserve">60 =&gt; op_nop, </v>
      </c>
      <c r="Z76" s="44" t="str">
        <f t="shared" si="41"/>
        <v>1 60 INSTRUCTION _UNUSED</v>
      </c>
      <c r="AA76" s="44" t="str">
        <f>CHAR(44)&amp;CHAR(34)&amp;CHAR(32)&amp;B76&amp;CHAR(34)</f>
        <v>," UNUSED"</v>
      </c>
    </row>
    <row r="77" spans="1:27" s="39" customFormat="1" x14ac:dyDescent="0.2">
      <c r="B77" s="40" t="s">
        <v>174</v>
      </c>
      <c r="C77" s="40"/>
      <c r="D77" s="40">
        <v>0</v>
      </c>
      <c r="E77" s="40">
        <v>0</v>
      </c>
      <c r="F77" s="40">
        <f t="shared" si="42"/>
        <v>61</v>
      </c>
      <c r="G77" s="40"/>
      <c r="H77" s="42">
        <f t="shared" si="37"/>
        <v>61</v>
      </c>
      <c r="I77" s="3" t="str">
        <f t="shared" si="38"/>
        <v>0111101</v>
      </c>
      <c r="J77" s="40" t="str">
        <f t="shared" si="39"/>
        <v>3D</v>
      </c>
      <c r="K77" s="40"/>
      <c r="L77" s="43" t="s">
        <v>16</v>
      </c>
      <c r="M77" s="39" t="s">
        <v>175</v>
      </c>
      <c r="N77" s="40"/>
      <c r="O77" s="38"/>
      <c r="P77" s="40" t="s">
        <v>197</v>
      </c>
      <c r="Q77" s="40">
        <v>0</v>
      </c>
      <c r="R77" s="14" t="s">
        <v>203</v>
      </c>
      <c r="S77" s="40"/>
      <c r="T77" s="40"/>
      <c r="U77" s="40"/>
      <c r="V77" s="2" t="str">
        <f t="shared" si="43"/>
        <v xml:space="preserve">61 =&gt; ps_slp, </v>
      </c>
      <c r="W77" s="2" t="str">
        <f t="shared" si="44"/>
        <v xml:space="preserve">61 =&gt; 0, </v>
      </c>
      <c r="X77" s="2" t="str">
        <f t="shared" si="40"/>
        <v xml:space="preserve">61 =&gt; op_nop, </v>
      </c>
      <c r="Z77" s="44" t="str">
        <f t="shared" si="41"/>
        <v>1 61 INSTRUCTION _PAUSE</v>
      </c>
      <c r="AA77" s="44" t="str">
        <f>CHAR(44)&amp;CHAR(34)&amp;CHAR(32)&amp;B77&amp;CHAR(34)</f>
        <v>," PAUSE"</v>
      </c>
    </row>
    <row r="78" spans="1:27" s="39" customFormat="1" x14ac:dyDescent="0.2">
      <c r="B78" s="40"/>
      <c r="C78" s="40"/>
      <c r="D78" s="40"/>
      <c r="E78" s="40"/>
      <c r="F78" s="40"/>
      <c r="G78" s="40"/>
      <c r="H78" s="42"/>
      <c r="I78" s="40"/>
      <c r="J78" s="40"/>
      <c r="K78" s="40"/>
      <c r="L78" s="43"/>
      <c r="N78" s="40"/>
      <c r="O78" s="38"/>
      <c r="P78" s="40"/>
      <c r="Q78" s="40"/>
      <c r="R78" s="40"/>
      <c r="S78" s="40"/>
      <c r="T78" s="40"/>
      <c r="U78" s="40"/>
      <c r="V78" s="2"/>
      <c r="W78" s="2"/>
      <c r="X78" s="40"/>
      <c r="Z78" s="44"/>
      <c r="AA78" s="44"/>
    </row>
    <row r="79" spans="1:27" s="17" customFormat="1" x14ac:dyDescent="0.2">
      <c r="A79" s="17" t="s">
        <v>176</v>
      </c>
      <c r="B79" s="14"/>
      <c r="C79" s="14"/>
      <c r="D79" s="14"/>
      <c r="E79" s="14"/>
      <c r="F79" s="14"/>
      <c r="G79" s="14"/>
      <c r="H79" s="23"/>
      <c r="I79" s="14"/>
      <c r="J79" s="14"/>
      <c r="K79" s="14"/>
      <c r="L79" s="19"/>
      <c r="N79" s="14"/>
      <c r="O79" s="15"/>
      <c r="P79" s="14"/>
      <c r="Q79" s="14"/>
      <c r="R79" s="14"/>
      <c r="S79" s="14"/>
      <c r="T79" s="14"/>
      <c r="U79" s="14"/>
      <c r="V79" s="2"/>
      <c r="W79" s="2"/>
      <c r="X79" s="14"/>
      <c r="Z79" s="24"/>
      <c r="AA79" s="24"/>
    </row>
    <row r="80" spans="1:27" s="17" customFormat="1" x14ac:dyDescent="0.2">
      <c r="B80" s="14" t="s">
        <v>177</v>
      </c>
      <c r="C80" s="14"/>
      <c r="D80" s="14">
        <v>0</v>
      </c>
      <c r="E80" s="14">
        <v>0</v>
      </c>
      <c r="F80" s="14">
        <v>62</v>
      </c>
      <c r="G80" s="14"/>
      <c r="H80" s="23">
        <f>F80+E80*64+D80*128</f>
        <v>62</v>
      </c>
      <c r="I80" s="14" t="str">
        <f t="shared" ref="I80:I81" si="45">DEC2BIN(H80,7)</f>
        <v>0111110</v>
      </c>
      <c r="J80" s="14" t="str">
        <f>DEC2HEX(H80)</f>
        <v>3E</v>
      </c>
      <c r="K80" s="14"/>
      <c r="L80" s="19"/>
      <c r="N80" s="14"/>
      <c r="O80" s="15"/>
      <c r="P80" s="3" t="s">
        <v>190</v>
      </c>
      <c r="Q80" s="3">
        <v>0</v>
      </c>
      <c r="R80" s="14" t="s">
        <v>203</v>
      </c>
      <c r="S80" s="14"/>
      <c r="T80" s="14"/>
      <c r="U80" s="2"/>
      <c r="V80" s="2" t="str">
        <f t="shared" si="43"/>
        <v xml:space="preserve">62 =&gt; pf_nxt_1, </v>
      </c>
      <c r="W80" s="2" t="str">
        <f t="shared" si="44"/>
        <v xml:space="preserve">62 =&gt; 0, </v>
      </c>
      <c r="X80" s="2" t="str">
        <f t="shared" ref="X80:X81" si="46">_xlfn.CONCAT($H80, " =&gt; ", R80, ", ")</f>
        <v xml:space="preserve">62 =&gt; op_nop, </v>
      </c>
      <c r="Z80" s="44" t="str">
        <f>"1 "&amp;H80&amp;" INSTRUCTION _"&amp;B80</f>
        <v>1 62 INSTRUCTION _UNUSED</v>
      </c>
      <c r="AA80" s="44" t="str">
        <f>CHAR(44)&amp;CHAR(34)&amp;CHAR(32)&amp;B80&amp;CHAR(34)</f>
        <v>," UNUSED"</v>
      </c>
    </row>
    <row r="81" spans="1:27" s="17" customFormat="1" x14ac:dyDescent="0.2">
      <c r="B81" s="14" t="s">
        <v>177</v>
      </c>
      <c r="C81" s="14"/>
      <c r="D81" s="14">
        <v>0</v>
      </c>
      <c r="E81" s="14">
        <v>0</v>
      </c>
      <c r="F81" s="14">
        <v>63</v>
      </c>
      <c r="G81" s="14"/>
      <c r="H81" s="23">
        <f t="shared" ref="H81" si="47">F81+E81*64+D81*128</f>
        <v>63</v>
      </c>
      <c r="I81" s="14" t="str">
        <f t="shared" si="45"/>
        <v>0111111</v>
      </c>
      <c r="J81" s="14" t="str">
        <f t="shared" ref="J81" si="48">DEC2HEX(H81)</f>
        <v>3F</v>
      </c>
      <c r="K81" s="14"/>
      <c r="L81" s="19"/>
      <c r="N81" s="14"/>
      <c r="O81" s="15"/>
      <c r="P81" s="3" t="s">
        <v>190</v>
      </c>
      <c r="Q81" s="3">
        <v>0</v>
      </c>
      <c r="R81" s="14" t="s">
        <v>203</v>
      </c>
      <c r="S81" s="14"/>
      <c r="T81" s="14"/>
      <c r="U81" s="2"/>
      <c r="V81" s="2" t="str">
        <f t="shared" si="43"/>
        <v xml:space="preserve">63 =&gt; pf_nxt_1, </v>
      </c>
      <c r="W81" s="2" t="str">
        <f t="shared" si="44"/>
        <v xml:space="preserve">63 =&gt; 0, </v>
      </c>
      <c r="X81" s="2" t="str">
        <f t="shared" si="46"/>
        <v xml:space="preserve">63 =&gt; op_nop, </v>
      </c>
      <c r="Z81" s="44" t="str">
        <f>"1 "&amp;H81&amp;" INSTRUCTION _"&amp;B81</f>
        <v>1 63 INSTRUCTION _UNUSED</v>
      </c>
      <c r="AA81" s="44" t="str">
        <f>CHAR(44)&amp;CHAR(34)&amp;CHAR(32)&amp;B81&amp;CHAR(34)</f>
        <v>," UNUSED"</v>
      </c>
    </row>
    <row r="82" spans="1:27" s="32" customFormat="1" x14ac:dyDescent="0.2">
      <c r="B82" s="40"/>
      <c r="C82" s="33"/>
      <c r="D82" s="46"/>
      <c r="E82" s="46"/>
      <c r="F82" s="46"/>
      <c r="G82" s="46"/>
      <c r="H82" s="47"/>
      <c r="I82" s="3"/>
      <c r="J82" s="46"/>
      <c r="K82" s="33"/>
      <c r="L82" s="35"/>
      <c r="N82" s="33"/>
      <c r="O82" s="36"/>
      <c r="P82" s="36"/>
      <c r="Q82" s="36"/>
      <c r="V82" s="2"/>
      <c r="Z82" s="48"/>
    </row>
    <row r="83" spans="1:27" s="51" customFormat="1" x14ac:dyDescent="0.2">
      <c r="A83" s="49" t="s">
        <v>178</v>
      </c>
      <c r="B83" s="46"/>
      <c r="C83" s="46"/>
      <c r="D83" s="46"/>
      <c r="E83" s="46"/>
      <c r="F83" s="46"/>
      <c r="G83" s="46"/>
      <c r="H83" s="47"/>
      <c r="I83" s="46"/>
      <c r="J83" s="46"/>
      <c r="K83" s="46"/>
      <c r="L83" s="50"/>
      <c r="N83" s="46"/>
      <c r="O83" s="49"/>
      <c r="P83" s="49"/>
      <c r="Q83" s="49"/>
      <c r="V83" s="2"/>
      <c r="Z83" s="52"/>
    </row>
    <row r="84" spans="1:27" s="51" customFormat="1" x14ac:dyDescent="0.2">
      <c r="A84" s="49"/>
      <c r="B84" s="46" t="s">
        <v>15</v>
      </c>
      <c r="C84" s="46"/>
      <c r="D84" s="46">
        <v>0</v>
      </c>
      <c r="E84" s="46">
        <v>0</v>
      </c>
      <c r="F84" s="46">
        <v>64</v>
      </c>
      <c r="G84" s="46"/>
      <c r="H84" s="47">
        <f t="shared" ref="H84" si="49">F84+E84*64+D84*128</f>
        <v>64</v>
      </c>
      <c r="I84" s="46" t="str">
        <f t="shared" ref="I84:I86" si="50">DEC2BIN(H84,7)</f>
        <v>1000000</v>
      </c>
      <c r="J84" s="46" t="str">
        <f>DEC2HEX(H84)</f>
        <v>40</v>
      </c>
      <c r="K84" s="46"/>
      <c r="L84" s="50" t="s">
        <v>16</v>
      </c>
      <c r="M84" s="51" t="s">
        <v>17</v>
      </c>
      <c r="N84" s="46"/>
      <c r="O84" s="49"/>
      <c r="P84" s="46"/>
      <c r="Q84" s="46"/>
      <c r="R84" s="46"/>
      <c r="S84" s="46"/>
      <c r="T84" s="46"/>
      <c r="V84" s="2"/>
      <c r="Z84" s="52"/>
    </row>
    <row r="85" spans="1:27" s="51" customFormat="1" x14ac:dyDescent="0.2">
      <c r="B85" s="46" t="s">
        <v>177</v>
      </c>
      <c r="C85" s="46"/>
      <c r="D85" s="46">
        <v>0</v>
      </c>
      <c r="E85" s="46">
        <v>0</v>
      </c>
      <c r="F85" s="46">
        <v>65</v>
      </c>
      <c r="G85" s="46"/>
      <c r="H85" s="47">
        <f>F85+E85*64+D85*128</f>
        <v>65</v>
      </c>
      <c r="I85" s="46" t="str">
        <f t="shared" si="50"/>
        <v>1000001</v>
      </c>
      <c r="J85" s="46" t="str">
        <f>DEC2HEX(H85)</f>
        <v>41</v>
      </c>
      <c r="K85" s="46"/>
      <c r="L85" s="50" t="s">
        <v>154</v>
      </c>
      <c r="M85" s="51" t="s">
        <v>179</v>
      </c>
      <c r="N85" s="46"/>
      <c r="O85" s="49"/>
      <c r="P85" s="46"/>
      <c r="Q85" s="46"/>
      <c r="R85" s="46"/>
      <c r="S85" s="46"/>
      <c r="T85" s="46"/>
      <c r="U85" s="46"/>
      <c r="V85" s="2"/>
      <c r="W85" s="46"/>
      <c r="X85" s="46"/>
      <c r="Z85" s="53"/>
      <c r="AA85" s="53"/>
    </row>
    <row r="86" spans="1:27" s="51" customFormat="1" x14ac:dyDescent="0.2">
      <c r="B86" s="46" t="s">
        <v>177</v>
      </c>
      <c r="C86" s="46"/>
      <c r="D86" s="46">
        <v>0</v>
      </c>
      <c r="E86" s="46">
        <v>0</v>
      </c>
      <c r="F86" s="46">
        <v>66</v>
      </c>
      <c r="G86" s="46"/>
      <c r="H86" s="47">
        <f>F86+E86*64+D86*128</f>
        <v>66</v>
      </c>
      <c r="I86" s="46" t="str">
        <f t="shared" si="50"/>
        <v>1000010</v>
      </c>
      <c r="J86" s="46" t="str">
        <f>DEC2HEX(H86)</f>
        <v>42</v>
      </c>
      <c r="K86" s="46"/>
      <c r="L86" s="50" t="s">
        <v>64</v>
      </c>
      <c r="M86" s="51" t="s">
        <v>180</v>
      </c>
      <c r="N86" s="46"/>
      <c r="O86" s="49"/>
      <c r="P86" s="46"/>
      <c r="Q86" s="46"/>
      <c r="R86" s="46"/>
      <c r="S86" s="46"/>
      <c r="T86" s="46"/>
      <c r="U86" s="46"/>
      <c r="V86" s="2"/>
      <c r="W86" s="46"/>
      <c r="X86" s="46"/>
      <c r="Z86" s="53"/>
      <c r="AA86" s="53"/>
    </row>
    <row r="87" spans="1:27" x14ac:dyDescent="0.2">
      <c r="N87" s="3"/>
    </row>
    <row r="88" spans="1:27" s="54" customFormat="1" x14ac:dyDescent="0.2">
      <c r="A88" s="54" t="s">
        <v>181</v>
      </c>
      <c r="B88" s="55"/>
      <c r="C88" s="55"/>
      <c r="D88" s="55"/>
      <c r="E88" s="55"/>
      <c r="F88" s="55"/>
      <c r="G88" s="55"/>
      <c r="H88" s="56"/>
      <c r="I88" s="56"/>
      <c r="J88" s="55"/>
      <c r="K88" s="55"/>
      <c r="L88" s="57"/>
      <c r="N88" s="55"/>
      <c r="O88" s="58"/>
      <c r="P88" s="58"/>
      <c r="Q88" s="58"/>
      <c r="V88" s="2"/>
      <c r="Z88" s="59"/>
    </row>
    <row r="89" spans="1:27" s="54" customFormat="1" ht="10.5" customHeight="1" x14ac:dyDescent="0.2">
      <c r="B89" s="55" t="s">
        <v>182</v>
      </c>
      <c r="C89" s="55"/>
      <c r="D89" s="55">
        <v>0</v>
      </c>
      <c r="E89" s="55">
        <v>1</v>
      </c>
      <c r="F89" s="55">
        <v>0</v>
      </c>
      <c r="G89" s="55"/>
      <c r="H89" s="56">
        <f t="shared" ref="H89:H91" si="51">F89+E89*64+D89*128</f>
        <v>64</v>
      </c>
      <c r="I89" s="55"/>
      <c r="J89" s="55" t="str">
        <f t="shared" ref="J89:J91" si="52">DEC2HEX(H89)</f>
        <v>40</v>
      </c>
      <c r="K89" s="55"/>
      <c r="L89" s="60" t="s">
        <v>183</v>
      </c>
      <c r="M89" s="54" t="s">
        <v>184</v>
      </c>
      <c r="N89" s="55"/>
      <c r="O89" s="58"/>
      <c r="P89" s="3" t="s">
        <v>204</v>
      </c>
      <c r="Q89" s="3">
        <v>0</v>
      </c>
      <c r="R89" s="14" t="s">
        <v>207</v>
      </c>
      <c r="S89" s="55"/>
      <c r="T89" s="55"/>
      <c r="U89" s="55"/>
      <c r="V89" s="2"/>
      <c r="W89" s="55"/>
      <c r="X89" s="55"/>
      <c r="Z89" s="61"/>
      <c r="AA89" s="61"/>
    </row>
    <row r="90" spans="1:27" s="54" customFormat="1" x14ac:dyDescent="0.2">
      <c r="B90" s="55" t="s">
        <v>185</v>
      </c>
      <c r="C90" s="55"/>
      <c r="D90" s="55">
        <v>1</v>
      </c>
      <c r="E90" s="55">
        <v>0</v>
      </c>
      <c r="F90" s="55">
        <v>0</v>
      </c>
      <c r="G90" s="55"/>
      <c r="H90" s="56">
        <f t="shared" si="51"/>
        <v>128</v>
      </c>
      <c r="I90" s="55"/>
      <c r="J90" s="55" t="str">
        <f t="shared" si="52"/>
        <v>80</v>
      </c>
      <c r="K90" s="55"/>
      <c r="L90" s="60" t="s">
        <v>16</v>
      </c>
      <c r="M90" s="54" t="s">
        <v>186</v>
      </c>
      <c r="N90" s="55"/>
      <c r="O90" s="58"/>
      <c r="P90" s="3" t="s">
        <v>205</v>
      </c>
      <c r="Q90" s="3">
        <v>0</v>
      </c>
      <c r="R90" s="14" t="s">
        <v>203</v>
      </c>
      <c r="S90" s="55"/>
      <c r="T90" s="55"/>
      <c r="U90" s="55"/>
      <c r="V90" s="2"/>
      <c r="W90" s="55"/>
      <c r="X90" s="55"/>
      <c r="Z90" s="61"/>
      <c r="AA90" s="61"/>
    </row>
    <row r="91" spans="1:27" s="54" customFormat="1" x14ac:dyDescent="0.2">
      <c r="B91" s="55" t="s">
        <v>187</v>
      </c>
      <c r="C91" s="55"/>
      <c r="D91" s="55">
        <v>1</v>
      </c>
      <c r="E91" s="55">
        <v>1</v>
      </c>
      <c r="F91" s="55">
        <v>0</v>
      </c>
      <c r="G91" s="55"/>
      <c r="H91" s="56">
        <f t="shared" si="51"/>
        <v>192</v>
      </c>
      <c r="I91" s="55"/>
      <c r="J91" s="55" t="str">
        <f t="shared" si="52"/>
        <v>C0</v>
      </c>
      <c r="K91" s="55"/>
      <c r="L91" s="60" t="s">
        <v>16</v>
      </c>
      <c r="M91" s="54" t="s">
        <v>188</v>
      </c>
      <c r="N91" s="55"/>
      <c r="O91" s="58"/>
      <c r="P91" s="3" t="s">
        <v>206</v>
      </c>
      <c r="Q91" s="3">
        <v>0</v>
      </c>
      <c r="R91" s="14" t="s">
        <v>203</v>
      </c>
      <c r="V91" s="2"/>
      <c r="Z91" s="61"/>
      <c r="AA91" s="61"/>
    </row>
    <row r="92" spans="1:27" s="62" customFormat="1" x14ac:dyDescent="0.2">
      <c r="B92" s="21"/>
      <c r="C92" s="21"/>
      <c r="D92" s="21"/>
      <c r="E92" s="21"/>
      <c r="F92" s="21"/>
      <c r="G92" s="21"/>
      <c r="H92" s="4"/>
      <c r="I92" s="3"/>
      <c r="J92" s="3"/>
      <c r="K92" s="21"/>
      <c r="L92" s="63"/>
      <c r="O92" s="64"/>
      <c r="P92" s="64"/>
      <c r="Q92" s="64"/>
      <c r="R92" s="21"/>
      <c r="V92" s="73" t="s">
        <v>200</v>
      </c>
      <c r="Z92" s="16"/>
      <c r="AA92" s="65"/>
    </row>
    <row r="93" spans="1:27" s="62" customFormat="1" x14ac:dyDescent="0.2">
      <c r="B93" s="21"/>
      <c r="C93" s="21"/>
      <c r="D93" s="21"/>
      <c r="E93" s="21"/>
      <c r="F93" s="21"/>
      <c r="G93" s="21"/>
      <c r="H93" s="4"/>
      <c r="I93" s="3"/>
      <c r="J93" s="3"/>
      <c r="K93" s="21"/>
      <c r="L93" s="63"/>
      <c r="O93" s="64"/>
      <c r="P93" s="64"/>
      <c r="Q93" s="64"/>
      <c r="R93" s="21"/>
      <c r="Z93" s="16"/>
      <c r="AA93" s="65"/>
    </row>
    <row r="94" spans="1:27" x14ac:dyDescent="0.2">
      <c r="A94" s="6"/>
    </row>
    <row r="95" spans="1:27" x14ac:dyDescent="0.2">
      <c r="B95" s="6"/>
      <c r="C95" s="6"/>
    </row>
    <row r="96" spans="1:27" s="66" customFormat="1" x14ac:dyDescent="0.2">
      <c r="B96" s="67"/>
      <c r="C96" s="67"/>
      <c r="D96" s="68"/>
      <c r="E96" s="68"/>
      <c r="F96" s="68"/>
      <c r="G96" s="68"/>
      <c r="H96" s="69"/>
      <c r="I96" s="69"/>
      <c r="J96" s="68"/>
      <c r="K96" s="68"/>
      <c r="L96" s="70"/>
      <c r="O96" s="71"/>
      <c r="P96" s="71"/>
      <c r="Q96" s="71"/>
      <c r="Z96" s="72"/>
    </row>
    <row r="97" spans="2:3" x14ac:dyDescent="0.2">
      <c r="B97" s="32"/>
      <c r="C97" s="49"/>
    </row>
    <row r="98" spans="2:3" x14ac:dyDescent="0.2">
      <c r="B98" s="49"/>
    </row>
  </sheetData>
  <hyperlinks>
    <hyperlink ref="B17" r:id="rId1" display="RSP@" xr:uid="{C2716BA8-6C13-4142-A71A-2CB62B891294}"/>
  </hyperlinks>
  <pageMargins left="0.70866141732283472" right="0.70866141732283472" top="0.74803149606299213" bottom="0.74803149606299213" header="0.31496062992125984" footer="0.31496062992125984"/>
  <pageSetup paperSize="9" scale="72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OPCODE_encoding</vt:lpstr>
      <vt:lpstr>OPCODE_encoding!Print_Area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Read</dc:creator>
  <cp:lastModifiedBy>Andrew Read</cp:lastModifiedBy>
  <dcterms:created xsi:type="dcterms:W3CDTF">2025-12-01T02:54:14Z</dcterms:created>
  <dcterms:modified xsi:type="dcterms:W3CDTF">2025-12-01T09:40:49Z</dcterms:modified>
</cp:coreProperties>
</file>